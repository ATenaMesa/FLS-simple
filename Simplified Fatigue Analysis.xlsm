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 todo\Proyectos\Nautilus\Fatiga\"/>
    </mc:Choice>
  </mc:AlternateContent>
  <bookViews>
    <workbookView xWindow="0" yWindow="0" windowWidth="23040" windowHeight="9360"/>
  </bookViews>
  <sheets>
    <sheet name="SFA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L16" i="1" l="1"/>
  <c r="K81" i="1" l="1"/>
  <c r="K32" i="1"/>
  <c r="M81" i="1"/>
  <c r="Q81" i="1"/>
  <c r="N81" i="1"/>
  <c r="R81" i="1"/>
  <c r="O81" i="1"/>
  <c r="P81" i="1"/>
  <c r="D15" i="1" s="1"/>
  <c r="L81" i="1"/>
  <c r="K52" i="1" l="1"/>
  <c r="K72" i="1"/>
  <c r="S58" i="1"/>
  <c r="R58" i="1"/>
  <c r="Q58" i="1"/>
  <c r="P58" i="1"/>
  <c r="O58" i="1"/>
  <c r="N58" i="1"/>
  <c r="M58" i="1"/>
  <c r="L58" i="1"/>
  <c r="S38" i="1"/>
  <c r="R38" i="1"/>
  <c r="Q38" i="1"/>
  <c r="P38" i="1"/>
  <c r="O38" i="1"/>
  <c r="N38" i="1"/>
  <c r="M38" i="1"/>
  <c r="L38" i="1"/>
  <c r="S71" i="1"/>
  <c r="R71" i="1"/>
  <c r="Q71" i="1"/>
  <c r="P71" i="1"/>
  <c r="O71" i="1"/>
  <c r="N71" i="1"/>
  <c r="M71" i="1"/>
  <c r="L71" i="1"/>
  <c r="K71" i="1"/>
  <c r="S70" i="1"/>
  <c r="R70" i="1"/>
  <c r="Q70" i="1"/>
  <c r="P70" i="1"/>
  <c r="O70" i="1"/>
  <c r="N70" i="1"/>
  <c r="M70" i="1"/>
  <c r="L70" i="1"/>
  <c r="K70" i="1"/>
  <c r="S69" i="1"/>
  <c r="R69" i="1"/>
  <c r="Q69" i="1"/>
  <c r="P69" i="1"/>
  <c r="O69" i="1"/>
  <c r="N69" i="1"/>
  <c r="M69" i="1"/>
  <c r="L69" i="1"/>
  <c r="K69" i="1"/>
  <c r="S68" i="1"/>
  <c r="R68" i="1"/>
  <c r="Q68" i="1"/>
  <c r="P68" i="1"/>
  <c r="O68" i="1"/>
  <c r="N68" i="1"/>
  <c r="M68" i="1"/>
  <c r="L68" i="1"/>
  <c r="K68" i="1"/>
  <c r="S67" i="1"/>
  <c r="R67" i="1"/>
  <c r="Q67" i="1"/>
  <c r="P67" i="1"/>
  <c r="O67" i="1"/>
  <c r="N67" i="1"/>
  <c r="M67" i="1"/>
  <c r="L67" i="1"/>
  <c r="K67" i="1"/>
  <c r="S66" i="1"/>
  <c r="R66" i="1"/>
  <c r="Q66" i="1"/>
  <c r="P66" i="1"/>
  <c r="O66" i="1"/>
  <c r="N66" i="1"/>
  <c r="M66" i="1"/>
  <c r="L66" i="1"/>
  <c r="K66" i="1"/>
  <c r="S65" i="1"/>
  <c r="R65" i="1"/>
  <c r="Q65" i="1"/>
  <c r="P65" i="1"/>
  <c r="O65" i="1"/>
  <c r="N65" i="1"/>
  <c r="M65" i="1"/>
  <c r="L65" i="1"/>
  <c r="K65" i="1"/>
  <c r="S64" i="1"/>
  <c r="R64" i="1"/>
  <c r="Q64" i="1"/>
  <c r="P64" i="1"/>
  <c r="O64" i="1"/>
  <c r="N64" i="1"/>
  <c r="M64" i="1"/>
  <c r="L64" i="1"/>
  <c r="K64" i="1"/>
  <c r="S63" i="1"/>
  <c r="R63" i="1"/>
  <c r="Q63" i="1"/>
  <c r="P63" i="1"/>
  <c r="O63" i="1"/>
  <c r="N63" i="1"/>
  <c r="M63" i="1"/>
  <c r="L63" i="1"/>
  <c r="K63" i="1"/>
  <c r="S62" i="1"/>
  <c r="R62" i="1"/>
  <c r="Q62" i="1"/>
  <c r="P62" i="1"/>
  <c r="O62" i="1"/>
  <c r="N62" i="1"/>
  <c r="M62" i="1"/>
  <c r="L62" i="1"/>
  <c r="K62" i="1"/>
  <c r="S61" i="1"/>
  <c r="R61" i="1"/>
  <c r="Q61" i="1"/>
  <c r="P61" i="1"/>
  <c r="O61" i="1"/>
  <c r="N61" i="1"/>
  <c r="M61" i="1"/>
  <c r="L61" i="1"/>
  <c r="K61" i="1"/>
  <c r="S60" i="1"/>
  <c r="R60" i="1"/>
  <c r="Q60" i="1"/>
  <c r="P60" i="1"/>
  <c r="O60" i="1"/>
  <c r="N60" i="1"/>
  <c r="M60" i="1"/>
  <c r="L60" i="1"/>
  <c r="K60" i="1"/>
  <c r="S59" i="1"/>
  <c r="R59" i="1"/>
  <c r="Q59" i="1"/>
  <c r="P59" i="1"/>
  <c r="O59" i="1"/>
  <c r="N59" i="1"/>
  <c r="M59" i="1"/>
  <c r="L59" i="1"/>
  <c r="K59" i="1"/>
  <c r="S51" i="1"/>
  <c r="R51" i="1"/>
  <c r="Q51" i="1"/>
  <c r="P51" i="1"/>
  <c r="O51" i="1"/>
  <c r="N51" i="1"/>
  <c r="M51" i="1"/>
  <c r="L51" i="1"/>
  <c r="K51" i="1"/>
  <c r="S50" i="1"/>
  <c r="R50" i="1"/>
  <c r="Q50" i="1"/>
  <c r="P50" i="1"/>
  <c r="O50" i="1"/>
  <c r="N50" i="1"/>
  <c r="M50" i="1"/>
  <c r="L50" i="1"/>
  <c r="K50" i="1"/>
  <c r="S49" i="1"/>
  <c r="R49" i="1"/>
  <c r="Q49" i="1"/>
  <c r="P49" i="1"/>
  <c r="O49" i="1"/>
  <c r="N49" i="1"/>
  <c r="M49" i="1"/>
  <c r="L49" i="1"/>
  <c r="K49" i="1"/>
  <c r="S48" i="1"/>
  <c r="R48" i="1"/>
  <c r="Q48" i="1"/>
  <c r="P48" i="1"/>
  <c r="O48" i="1"/>
  <c r="N48" i="1"/>
  <c r="M48" i="1"/>
  <c r="L48" i="1"/>
  <c r="K48" i="1"/>
  <c r="S47" i="1"/>
  <c r="R47" i="1"/>
  <c r="Q47" i="1"/>
  <c r="P47" i="1"/>
  <c r="O47" i="1"/>
  <c r="N47" i="1"/>
  <c r="M47" i="1"/>
  <c r="L47" i="1"/>
  <c r="K47" i="1"/>
  <c r="S46" i="1"/>
  <c r="R46" i="1"/>
  <c r="Q46" i="1"/>
  <c r="P46" i="1"/>
  <c r="O46" i="1"/>
  <c r="N46" i="1"/>
  <c r="M46" i="1"/>
  <c r="L46" i="1"/>
  <c r="K46" i="1"/>
  <c r="S45" i="1"/>
  <c r="R45" i="1"/>
  <c r="Q45" i="1"/>
  <c r="P45" i="1"/>
  <c r="O45" i="1"/>
  <c r="N45" i="1"/>
  <c r="M45" i="1"/>
  <c r="L45" i="1"/>
  <c r="K45" i="1"/>
  <c r="S44" i="1"/>
  <c r="R44" i="1"/>
  <c r="Q44" i="1"/>
  <c r="P44" i="1"/>
  <c r="O44" i="1"/>
  <c r="N44" i="1"/>
  <c r="M44" i="1"/>
  <c r="L44" i="1"/>
  <c r="K44" i="1"/>
  <c r="S43" i="1"/>
  <c r="R43" i="1"/>
  <c r="Q43" i="1"/>
  <c r="P43" i="1"/>
  <c r="O43" i="1"/>
  <c r="N43" i="1"/>
  <c r="M43" i="1"/>
  <c r="L43" i="1"/>
  <c r="K43" i="1"/>
  <c r="S42" i="1"/>
  <c r="R42" i="1"/>
  <c r="Q42" i="1"/>
  <c r="P42" i="1"/>
  <c r="O42" i="1"/>
  <c r="N42" i="1"/>
  <c r="M42" i="1"/>
  <c r="L42" i="1"/>
  <c r="K42" i="1"/>
  <c r="S41" i="1"/>
  <c r="R41" i="1"/>
  <c r="Q41" i="1"/>
  <c r="P41" i="1"/>
  <c r="O41" i="1"/>
  <c r="N41" i="1"/>
  <c r="M41" i="1"/>
  <c r="L41" i="1"/>
  <c r="K41" i="1"/>
  <c r="S40" i="1"/>
  <c r="R40" i="1"/>
  <c r="Q40" i="1"/>
  <c r="P40" i="1"/>
  <c r="O40" i="1"/>
  <c r="N40" i="1"/>
  <c r="M40" i="1"/>
  <c r="L40" i="1"/>
  <c r="K40" i="1"/>
  <c r="S39" i="1"/>
  <c r="R39" i="1"/>
  <c r="Q39" i="1"/>
  <c r="P39" i="1"/>
  <c r="O39" i="1"/>
  <c r="N39" i="1"/>
  <c r="M39" i="1"/>
  <c r="L39" i="1"/>
  <c r="K39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18" i="1"/>
  <c r="L18" i="1"/>
  <c r="M18" i="1"/>
  <c r="N18" i="1"/>
  <c r="O18" i="1"/>
  <c r="P18" i="1"/>
  <c r="Q18" i="1"/>
  <c r="R18" i="1"/>
  <c r="S18" i="1"/>
  <c r="L19" i="1"/>
  <c r="M19" i="1"/>
  <c r="N19" i="1"/>
  <c r="O19" i="1"/>
  <c r="P19" i="1"/>
  <c r="Q19" i="1"/>
  <c r="R19" i="1"/>
  <c r="S19" i="1"/>
  <c r="L20" i="1"/>
  <c r="M20" i="1"/>
  <c r="N20" i="1"/>
  <c r="O20" i="1"/>
  <c r="P20" i="1"/>
  <c r="Q20" i="1"/>
  <c r="R20" i="1"/>
  <c r="S20" i="1"/>
  <c r="L21" i="1"/>
  <c r="M21" i="1"/>
  <c r="N21" i="1"/>
  <c r="O21" i="1"/>
  <c r="P21" i="1"/>
  <c r="Q21" i="1"/>
  <c r="R21" i="1"/>
  <c r="S21" i="1"/>
  <c r="L22" i="1"/>
  <c r="M22" i="1"/>
  <c r="N22" i="1"/>
  <c r="O22" i="1"/>
  <c r="P22" i="1"/>
  <c r="Q22" i="1"/>
  <c r="R22" i="1"/>
  <c r="S22" i="1"/>
  <c r="L23" i="1"/>
  <c r="M23" i="1"/>
  <c r="N23" i="1"/>
  <c r="O23" i="1"/>
  <c r="P23" i="1"/>
  <c r="Q23" i="1"/>
  <c r="R23" i="1"/>
  <c r="S23" i="1"/>
  <c r="L24" i="1"/>
  <c r="M24" i="1"/>
  <c r="N24" i="1"/>
  <c r="O24" i="1"/>
  <c r="P24" i="1"/>
  <c r="Q24" i="1"/>
  <c r="R24" i="1"/>
  <c r="S24" i="1"/>
  <c r="L25" i="1"/>
  <c r="M25" i="1"/>
  <c r="N25" i="1"/>
  <c r="O25" i="1"/>
  <c r="P25" i="1"/>
  <c r="Q25" i="1"/>
  <c r="R25" i="1"/>
  <c r="S25" i="1"/>
  <c r="L26" i="1"/>
  <c r="M26" i="1"/>
  <c r="N26" i="1"/>
  <c r="O26" i="1"/>
  <c r="P26" i="1"/>
  <c r="Q26" i="1"/>
  <c r="R26" i="1"/>
  <c r="S26" i="1"/>
  <c r="L27" i="1"/>
  <c r="M27" i="1"/>
  <c r="N27" i="1"/>
  <c r="O27" i="1"/>
  <c r="P27" i="1"/>
  <c r="Q27" i="1"/>
  <c r="R27" i="1"/>
  <c r="S27" i="1"/>
  <c r="L28" i="1"/>
  <c r="M28" i="1"/>
  <c r="N28" i="1"/>
  <c r="O28" i="1"/>
  <c r="P28" i="1"/>
  <c r="Q28" i="1"/>
  <c r="R28" i="1"/>
  <c r="S28" i="1"/>
  <c r="L29" i="1"/>
  <c r="M29" i="1"/>
  <c r="N29" i="1"/>
  <c r="O29" i="1"/>
  <c r="P29" i="1"/>
  <c r="Q29" i="1"/>
  <c r="R29" i="1"/>
  <c r="S29" i="1"/>
  <c r="L30" i="1"/>
  <c r="M30" i="1"/>
  <c r="N30" i="1"/>
  <c r="O30" i="1"/>
  <c r="P30" i="1"/>
  <c r="Q30" i="1"/>
  <c r="R30" i="1"/>
  <c r="S30" i="1"/>
  <c r="L31" i="1"/>
  <c r="M31" i="1"/>
  <c r="N31" i="1"/>
  <c r="O31" i="1"/>
  <c r="P31" i="1"/>
  <c r="Q31" i="1"/>
  <c r="R31" i="1"/>
  <c r="S31" i="1"/>
  <c r="M17" i="1"/>
  <c r="N17" i="1"/>
  <c r="O17" i="1"/>
  <c r="P17" i="1"/>
  <c r="Q17" i="1"/>
  <c r="R17" i="1"/>
  <c r="S17" i="1"/>
  <c r="L17" i="1"/>
  <c r="R52" i="1"/>
  <c r="N52" i="1"/>
  <c r="S72" i="1"/>
  <c r="Q72" i="1"/>
  <c r="Q52" i="1"/>
  <c r="O72" i="1"/>
  <c r="R72" i="1"/>
  <c r="L52" i="1"/>
  <c r="O52" i="1"/>
  <c r="P72" i="1"/>
  <c r="N72" i="1"/>
  <c r="M52" i="1"/>
  <c r="M72" i="1"/>
  <c r="P52" i="1"/>
  <c r="S52" i="1"/>
  <c r="L72" i="1"/>
  <c r="D16" i="1"/>
  <c r="T32" i="1" l="1"/>
  <c r="M32" i="1"/>
  <c r="Q32" i="1"/>
  <c r="N32" i="1"/>
  <c r="R32" i="1"/>
  <c r="O32" i="1"/>
  <c r="S32" i="1"/>
  <c r="P32" i="1"/>
  <c r="L32" i="1"/>
  <c r="D14" i="1"/>
  <c r="D17" i="1" l="1"/>
</calcChain>
</file>

<file path=xl/comments1.xml><?xml version="1.0" encoding="utf-8"?>
<comments xmlns="http://schemas.openxmlformats.org/spreadsheetml/2006/main">
  <authors>
    <author>usuario</author>
  </authors>
  <commentList>
    <comment ref="K16" authorId="0" shapeId="0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DNVGL-RP-C203, todas las tablas obtenidas de los aptdos. 2 (S-N curves) y 5 (simplified fatigue analysis)</t>
        </r>
      </text>
    </comment>
  </commentList>
</comments>
</file>

<file path=xl/sharedStrings.xml><?xml version="1.0" encoding="utf-8"?>
<sst xmlns="http://schemas.openxmlformats.org/spreadsheetml/2006/main" count="103" uniqueCount="60">
  <si>
    <t>Plate thickness [mm]</t>
  </si>
  <si>
    <t>Design Life [years]</t>
  </si>
  <si>
    <t>Structure Length [m]</t>
  </si>
  <si>
    <t>Deck Longitudinals</t>
  </si>
  <si>
    <t>Ship side above the waterline</t>
  </si>
  <si>
    <t>Ship side at the waterline</t>
  </si>
  <si>
    <t>Ship side below the waterline</t>
  </si>
  <si>
    <t>Bottom longitudinals</t>
  </si>
  <si>
    <t>Longitudinal and transverse bulkheads</t>
  </si>
  <si>
    <t>Weibull shape param.</t>
  </si>
  <si>
    <t>Kind of structure (local)</t>
  </si>
  <si>
    <t>Freeboard [m]</t>
  </si>
  <si>
    <t>Draught [m]</t>
  </si>
  <si>
    <t>'z' from keel</t>
  </si>
  <si>
    <t>S-N Curve</t>
  </si>
  <si>
    <t>B1</t>
  </si>
  <si>
    <t>B2</t>
  </si>
  <si>
    <t>C</t>
  </si>
  <si>
    <t>C1</t>
  </si>
  <si>
    <t>C2</t>
  </si>
  <si>
    <t>E</t>
  </si>
  <si>
    <t>F</t>
  </si>
  <si>
    <t>F1</t>
  </si>
  <si>
    <t>F3</t>
  </si>
  <si>
    <t>G</t>
  </si>
  <si>
    <t>W1</t>
  </si>
  <si>
    <t>W2</t>
  </si>
  <si>
    <t>W3</t>
  </si>
  <si>
    <t>D and T</t>
  </si>
  <si>
    <t>S-N \ Weibull Shape (h)</t>
  </si>
  <si>
    <t>Allowable extreme stress range in MPa during 10^8 cycles for components in seawater with cathodic protection</t>
  </si>
  <si>
    <t>Allowable extreme stress range in MPa during 10^8 cycles for components in air</t>
  </si>
  <si>
    <t>Utilisation \ Weibull Shape (h)</t>
  </si>
  <si>
    <t>Reduction factor on stress to correspond with utilisation factor η for B1 and B2 curves in seawater with cathodic protection</t>
  </si>
  <si>
    <t>Reduction factor on stress to correspond with utilisation factor η for B1 and B2 curves in air</t>
  </si>
  <si>
    <t>Reduction factor on stress to correspond with utilisation factor η for C - W3 curves in seawater with cathodic protection</t>
  </si>
  <si>
    <t>Reduction factor on stress to correspond with utilisation factor η for C - W3 curves in air</t>
  </si>
  <si>
    <t>Air</t>
  </si>
  <si>
    <t>Water with cathodic protection</t>
  </si>
  <si>
    <t>In contact with:</t>
  </si>
  <si>
    <t>Local place of the structure</t>
  </si>
  <si>
    <t>In contact with</t>
  </si>
  <si>
    <t>S-N curves</t>
  </si>
  <si>
    <t>Selected:</t>
  </si>
  <si>
    <t>DFF \ Design Life in years</t>
  </si>
  <si>
    <r>
      <t xml:space="preserve">Utilisation factors </t>
    </r>
    <r>
      <rPr>
        <sz val="11"/>
        <color theme="1"/>
        <rFont val="Calibri"/>
        <family val="2"/>
      </rPr>
      <t>η</t>
    </r>
  </si>
  <si>
    <r>
      <t xml:space="preserve">Utilisation factor </t>
    </r>
    <r>
      <rPr>
        <sz val="11"/>
        <color theme="1"/>
        <rFont val="Calibri"/>
        <family val="2"/>
      </rPr>
      <t>η</t>
    </r>
  </si>
  <si>
    <t>Reduction factor</t>
  </si>
  <si>
    <t>Thickness Exponent</t>
  </si>
  <si>
    <t>Alowable Stress Range [Mpa]</t>
  </si>
  <si>
    <t>Floating Structure Variables and local details</t>
  </si>
  <si>
    <t>Fatigue Design params.</t>
  </si>
  <si>
    <t>Simplified Fatigue Analysis Results (10^8 cycles)</t>
  </si>
  <si>
    <t>t_ref (reference thickness) [mm]</t>
  </si>
  <si>
    <r>
      <t xml:space="preserve">Allowable </t>
    </r>
    <r>
      <rPr>
        <sz val="11"/>
        <color theme="1"/>
        <rFont val="Calibri"/>
        <family val="2"/>
      </rPr>
      <t>Δσ</t>
    </r>
    <r>
      <rPr>
        <sz val="9.35"/>
        <color theme="1"/>
        <rFont val="Calibri"/>
        <family val="2"/>
      </rPr>
      <t xml:space="preserve"> [Mpa] (20 years; 10^8 cicles and DFF=1)</t>
    </r>
  </si>
  <si>
    <t>Semibumersible</t>
  </si>
  <si>
    <t>Only relevant for ships (DNV CN 30.7)</t>
  </si>
  <si>
    <t>INPUTS</t>
  </si>
  <si>
    <t>OUTPUTS</t>
  </si>
  <si>
    <t>Design Fatigue Factor (DFF) (Table 7-5 below)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</si>
</sst>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.35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9" xfId="0" applyFill="1" applyBorder="1" applyAlignment="1">
      <alignment horizontal="center" vertical="center"/>
    </xf>
    <xf numFmtId="0" fontId="0" fillId="0" borderId="5" xfId="0" applyBorder="1"/>
    <xf numFmtId="0" fontId="0" fillId="0" borderId="0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2" fontId="0" fillId="0" borderId="26" xfId="0" applyNumberForma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" xfId="0" quotePrefix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0" fillId="3" borderId="2" xfId="0" quotePrefix="1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3" borderId="25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2" fontId="0" fillId="4" borderId="8" xfId="0" applyNumberForma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 wrapText="1"/>
    </xf>
    <xf numFmtId="0" fontId="0" fillId="3" borderId="35" xfId="0" applyFill="1" applyBorder="1" applyAlignment="1">
      <alignment horizontal="center" vertical="center" wrapText="1"/>
    </xf>
    <xf numFmtId="0" fontId="0" fillId="3" borderId="36" xfId="0" applyFill="1" applyBorder="1" applyAlignment="1">
      <alignment horizontal="center" vertical="center" wrapText="1"/>
    </xf>
    <xf numFmtId="0" fontId="0" fillId="3" borderId="37" xfId="0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1" fillId="4" borderId="26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141514</xdr:colOff>
      <xdr:row>17</xdr:row>
      <xdr:rowOff>165949</xdr:rowOff>
    </xdr:from>
    <xdr:to>
      <xdr:col>3</xdr:col>
      <xdr:colOff>1213520</xdr:colOff>
      <xdr:row>32</xdr:row>
      <xdr:rowOff>166233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D485206-F986-484E-82C9-74B3633D6D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14" y="3627606"/>
          <a:ext cx="5529943" cy="27979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N81"/>
  <sheetViews>
    <sheetView tabSelected="1" zoomScale="70" zoomScaleNormal="70" workbookViewId="0">
      <selection activeCell="H13" sqref="H13"/>
    </sheetView>
  </sheetViews>
  <sheetFormatPr baseColWidth="10" defaultRowHeight="14.4" x14ac:dyDescent="0.3"/>
  <cols>
    <col min="2" max="2" width="15.77734375" customWidth="1"/>
    <col min="3" max="3" width="37.77734375" customWidth="1"/>
    <col min="4" max="4" width="37.44140625" customWidth="1"/>
    <col min="11" max="11" width="19.6640625" bestFit="1" customWidth="1"/>
    <col min="21" max="21" width="19.6640625" bestFit="1" customWidth="1"/>
    <col min="22" max="22" width="18.88671875" customWidth="1"/>
  </cols>
  <sheetData>
    <row r="1" spans="1:40" ht="15" thickBot="1" x14ac:dyDescent="0.35"/>
    <row r="2" spans="1:40" ht="28.8" x14ac:dyDescent="0.3">
      <c r="A2" s="75" t="s">
        <v>57</v>
      </c>
      <c r="B2" s="63" t="s">
        <v>51</v>
      </c>
      <c r="C2" s="83" t="s">
        <v>59</v>
      </c>
      <c r="D2" s="34">
        <v>2</v>
      </c>
      <c r="N2" t="s">
        <v>40</v>
      </c>
      <c r="O2" t="s">
        <v>3</v>
      </c>
      <c r="P2" t="s">
        <v>4</v>
      </c>
      <c r="Q2" t="s">
        <v>5</v>
      </c>
      <c r="R2" t="s">
        <v>6</v>
      </c>
      <c r="S2" t="s">
        <v>7</v>
      </c>
      <c r="T2" t="s">
        <v>8</v>
      </c>
      <c r="U2" t="s">
        <v>55</v>
      </c>
    </row>
    <row r="3" spans="1:40" x14ac:dyDescent="0.3">
      <c r="A3" s="76"/>
      <c r="B3" s="64"/>
      <c r="C3" s="78" t="s">
        <v>1</v>
      </c>
      <c r="D3" s="35">
        <v>25</v>
      </c>
      <c r="N3" t="s">
        <v>41</v>
      </c>
      <c r="O3" t="s">
        <v>37</v>
      </c>
      <c r="P3" t="s">
        <v>38</v>
      </c>
    </row>
    <row r="4" spans="1:40" ht="23.4" customHeight="1" thickBot="1" x14ac:dyDescent="0.35">
      <c r="A4" s="76"/>
      <c r="B4" s="65"/>
      <c r="C4" s="79" t="s">
        <v>14</v>
      </c>
      <c r="D4" s="36" t="s">
        <v>23</v>
      </c>
      <c r="N4" t="s">
        <v>42</v>
      </c>
      <c r="O4" s="1" t="s">
        <v>15</v>
      </c>
      <c r="P4" s="1" t="s">
        <v>16</v>
      </c>
      <c r="Q4" s="1" t="s">
        <v>17</v>
      </c>
      <c r="R4" s="1" t="s">
        <v>18</v>
      </c>
      <c r="S4" s="1" t="s">
        <v>19</v>
      </c>
      <c r="T4" s="1" t="s">
        <v>28</v>
      </c>
      <c r="U4" s="1" t="s">
        <v>20</v>
      </c>
      <c r="V4" s="1" t="s">
        <v>21</v>
      </c>
      <c r="W4" s="1" t="s">
        <v>22</v>
      </c>
      <c r="X4" s="1" t="s">
        <v>23</v>
      </c>
      <c r="Y4" s="1" t="s">
        <v>24</v>
      </c>
      <c r="Z4" s="1" t="s">
        <v>25</v>
      </c>
      <c r="AA4" s="1" t="s">
        <v>26</v>
      </c>
      <c r="AB4" s="1" t="s">
        <v>27</v>
      </c>
    </row>
    <row r="5" spans="1:40" ht="15" customHeight="1" thickBot="1" x14ac:dyDescent="0.35">
      <c r="A5" s="76"/>
      <c r="B5" s="71" t="s">
        <v>50</v>
      </c>
      <c r="C5" s="39" t="s">
        <v>10</v>
      </c>
      <c r="D5" s="40" t="s">
        <v>55</v>
      </c>
    </row>
    <row r="6" spans="1:40" x14ac:dyDescent="0.3">
      <c r="A6" s="76"/>
      <c r="B6" s="72"/>
      <c r="C6" s="37" t="s">
        <v>0</v>
      </c>
      <c r="D6" s="38">
        <v>10</v>
      </c>
    </row>
    <row r="7" spans="1:40" x14ac:dyDescent="0.3">
      <c r="A7" s="76"/>
      <c r="B7" s="72"/>
      <c r="C7" s="48" t="s">
        <v>53</v>
      </c>
      <c r="D7" s="49">
        <v>16</v>
      </c>
    </row>
    <row r="8" spans="1:40" ht="15" thickBot="1" x14ac:dyDescent="0.35">
      <c r="A8" s="76"/>
      <c r="B8" s="73"/>
      <c r="C8" s="42" t="s">
        <v>39</v>
      </c>
      <c r="D8" s="43" t="s">
        <v>37</v>
      </c>
    </row>
    <row r="9" spans="1:40" x14ac:dyDescent="0.3">
      <c r="A9" s="76"/>
      <c r="B9" s="66" t="s">
        <v>56</v>
      </c>
      <c r="C9" s="39" t="s">
        <v>2</v>
      </c>
      <c r="D9" s="40">
        <v>1</v>
      </c>
    </row>
    <row r="10" spans="1:40" x14ac:dyDescent="0.3">
      <c r="A10" s="76"/>
      <c r="B10" s="72"/>
      <c r="C10" s="39" t="s">
        <v>11</v>
      </c>
      <c r="D10" s="40">
        <v>30</v>
      </c>
    </row>
    <row r="11" spans="1:40" x14ac:dyDescent="0.3">
      <c r="A11" s="76"/>
      <c r="B11" s="72"/>
      <c r="C11" s="39" t="s">
        <v>12</v>
      </c>
      <c r="D11" s="40">
        <v>30</v>
      </c>
    </row>
    <row r="12" spans="1:40" ht="15" thickBot="1" x14ac:dyDescent="0.35">
      <c r="A12" s="77"/>
      <c r="B12" s="74"/>
      <c r="C12" s="41" t="s">
        <v>13</v>
      </c>
      <c r="D12" s="40">
        <v>10</v>
      </c>
    </row>
    <row r="13" spans="1:40" x14ac:dyDescent="0.3">
      <c r="A13" s="76" t="s">
        <v>58</v>
      </c>
      <c r="B13" s="67" t="s">
        <v>52</v>
      </c>
      <c r="C13" s="80" t="s">
        <v>9</v>
      </c>
      <c r="D13" s="70">
        <f>IF(D5=U2,1.1,2.21-0.54*LOG10(D9)+IF(D5=O2,0,IF(D5=P2,0.05*((D10+D11)-D12)/((D10+D11)-D11),IF(D5=Q2,0.05,IF(D5=R2,0.05*D12/D11-0.005*(D11-D12),IF(D5=S2,-0.005*D11,IF(D5=T2,0.05)))))))</f>
        <v>1.1000000000000001</v>
      </c>
    </row>
    <row r="14" spans="1:40" ht="27" x14ac:dyDescent="0.3">
      <c r="A14" s="76"/>
      <c r="B14" s="68"/>
      <c r="C14" s="44" t="s">
        <v>54</v>
      </c>
      <c r="D14" s="45">
        <f ca="1">lininterpolate(D13,L17:S17,L32:S32)</f>
        <v>146.5</v>
      </c>
    </row>
    <row r="15" spans="1:40" ht="15" thickBot="1" x14ac:dyDescent="0.35">
      <c r="A15" s="76"/>
      <c r="B15" s="68"/>
      <c r="C15" s="44" t="s">
        <v>46</v>
      </c>
      <c r="D15" s="45">
        <f>lininterpolate(D3,L75:R75,L81:R81)</f>
        <v>0.4</v>
      </c>
    </row>
    <row r="16" spans="1:40" ht="42.6" customHeight="1" thickBot="1" x14ac:dyDescent="0.35">
      <c r="A16" s="76"/>
      <c r="B16" s="68"/>
      <c r="C16" s="81" t="s">
        <v>47</v>
      </c>
      <c r="D16" s="46">
        <f>IF(D4=O4,1,IF(D4=P4,1,0))*lininterpolate(D13,L38:S38,L52:S52)+IF(D4=O4,0,IF(D4=P4,0,1))*lininterpolate(D13,L58:S58,L72:S72)</f>
        <v>0.79</v>
      </c>
      <c r="K16" s="50" t="s">
        <v>29</v>
      </c>
      <c r="L16" s="58" t="str">
        <f>IF($D$8=$P$3,W16,IF($D$8=$O$3,AG16,0))</f>
        <v>Allowable extreme stress range in MPa during 10^8 cycles for components in air</v>
      </c>
      <c r="M16" s="59"/>
      <c r="N16" s="59"/>
      <c r="O16" s="59"/>
      <c r="P16" s="59"/>
      <c r="Q16" s="59"/>
      <c r="R16" s="59"/>
      <c r="S16" s="60"/>
      <c r="V16" s="57" t="s">
        <v>29</v>
      </c>
      <c r="W16" s="57" t="s">
        <v>30</v>
      </c>
      <c r="X16" s="57"/>
      <c r="Y16" s="57"/>
      <c r="Z16" s="57"/>
      <c r="AA16" s="57"/>
      <c r="AB16" s="57"/>
      <c r="AC16" s="57"/>
      <c r="AD16" s="57"/>
      <c r="AF16" s="57" t="s">
        <v>29</v>
      </c>
      <c r="AG16" s="57" t="s">
        <v>31</v>
      </c>
      <c r="AH16" s="57"/>
      <c r="AI16" s="57"/>
      <c r="AJ16" s="57"/>
      <c r="AK16" s="57"/>
      <c r="AL16" s="57"/>
      <c r="AM16" s="57"/>
      <c r="AN16" s="57"/>
    </row>
    <row r="17" spans="1:40" ht="29.4" thickBot="1" x14ac:dyDescent="0.35">
      <c r="A17" s="77"/>
      <c r="B17" s="69"/>
      <c r="C17" s="82" t="s">
        <v>49</v>
      </c>
      <c r="D17" s="47">
        <f ca="1">D16*D14*(D7/D6)^T32</f>
        <v>130.16514654181009</v>
      </c>
      <c r="K17" s="51"/>
      <c r="L17" s="15">
        <f>IF($D$8=$P$3,W17,IF($D$8=$O$3,AG17,0))</f>
        <v>0.5</v>
      </c>
      <c r="M17" s="2">
        <f>IF($D$8=$P$3,X17,IF($D$8=$O$3,AH17,0))</f>
        <v>0.6</v>
      </c>
      <c r="N17" s="2">
        <f>IF($D$8=$P$3,Y17,IF($D$8=$O$3,AI17,0))</f>
        <v>0.7</v>
      </c>
      <c r="O17" s="2">
        <f>IF($D$8=$P$3,Z17,IF($D$8=$O$3,AJ17,0))</f>
        <v>0.8</v>
      </c>
      <c r="P17" s="2">
        <f>IF($D$8=$P$3,AA17,IF($D$8=$O$3,AK17,0))</f>
        <v>0.9</v>
      </c>
      <c r="Q17" s="2">
        <f>IF($D$8=$P$3,AB17,IF($D$8=$O$3,AL17,0))</f>
        <v>1</v>
      </c>
      <c r="R17" s="2">
        <f>IF($D$8=$P$3,AC17,IF($D$8=$O$3,AM17,0))</f>
        <v>1.1000000000000001</v>
      </c>
      <c r="S17" s="27">
        <f>IF($D$8=$P$3,AD17,IF($D$8=$O$3,AN17,0))</f>
        <v>1.2</v>
      </c>
      <c r="T17" s="31" t="s">
        <v>48</v>
      </c>
      <c r="V17" s="57"/>
      <c r="W17" s="1">
        <v>0.5</v>
      </c>
      <c r="X17" s="1">
        <v>0.6</v>
      </c>
      <c r="Y17" s="1">
        <v>0.7</v>
      </c>
      <c r="Z17" s="1">
        <v>0.8</v>
      </c>
      <c r="AA17" s="1">
        <v>0.9</v>
      </c>
      <c r="AB17" s="1">
        <v>1</v>
      </c>
      <c r="AC17" s="1">
        <v>1.1000000000000001</v>
      </c>
      <c r="AD17" s="1">
        <v>1.2</v>
      </c>
      <c r="AF17" s="57"/>
      <c r="AG17" s="1">
        <v>0.5</v>
      </c>
      <c r="AH17" s="1">
        <v>0.6</v>
      </c>
      <c r="AI17" s="1">
        <v>0.7</v>
      </c>
      <c r="AJ17" s="1">
        <v>0.8</v>
      </c>
      <c r="AK17" s="1">
        <v>0.9</v>
      </c>
      <c r="AL17" s="1">
        <v>1</v>
      </c>
      <c r="AM17" s="1">
        <v>1.1000000000000001</v>
      </c>
      <c r="AN17" s="1">
        <v>1.2</v>
      </c>
    </row>
    <row r="18" spans="1:40" x14ac:dyDescent="0.3">
      <c r="K18" s="16" t="str">
        <f>IF($D$8=$P$3,V18,IF($D$8=$O$3,AF18,0))</f>
        <v>B1</v>
      </c>
      <c r="L18" s="4">
        <f>IF($D$8=$P$3,W18,IF($D$8=$O$3,AG18,0))</f>
        <v>1449.3</v>
      </c>
      <c r="M18" s="5">
        <f>IF($D$8=$P$3,X18,IF($D$8=$O$3,AH18,0))</f>
        <v>1092.2</v>
      </c>
      <c r="N18" s="5">
        <f>IF($D$8=$P$3,Y18,IF($D$8=$O$3,AI18,0))</f>
        <v>861.2</v>
      </c>
      <c r="O18" s="5">
        <f>IF($D$8=$P$3,Z18,IF($D$8=$O$3,AJ18,0))</f>
        <v>704.7</v>
      </c>
      <c r="P18" s="5">
        <f>IF($D$8=$P$3,AA18,IF($D$8=$O$3,AK18,0))</f>
        <v>594.1</v>
      </c>
      <c r="Q18" s="5">
        <f>IF($D$8=$P$3,AB18,IF($D$8=$O$3,AL18,0))</f>
        <v>512.9</v>
      </c>
      <c r="R18" s="5">
        <f>IF($D$8=$P$3,AC18,IF($D$8=$O$3,AM18,0))</f>
        <v>451.4</v>
      </c>
      <c r="S18" s="28">
        <f>IF($D$8=$P$3,AD18,IF($D$8=$O$3,AN18,0))</f>
        <v>403.6</v>
      </c>
      <c r="T18" s="32">
        <v>0</v>
      </c>
      <c r="V18" s="1" t="s">
        <v>15</v>
      </c>
      <c r="W18" s="1">
        <v>1309.8</v>
      </c>
      <c r="X18" s="1">
        <v>996</v>
      </c>
      <c r="Y18" s="1">
        <v>793</v>
      </c>
      <c r="Z18" s="1">
        <v>655.20000000000005</v>
      </c>
      <c r="AA18" s="1">
        <v>557.4</v>
      </c>
      <c r="AB18" s="1">
        <v>485.3</v>
      </c>
      <c r="AC18" s="1">
        <v>430.5</v>
      </c>
      <c r="AD18" s="1">
        <v>387.6</v>
      </c>
      <c r="AF18" s="1" t="s">
        <v>15</v>
      </c>
      <c r="AG18" s="1">
        <v>1449.3</v>
      </c>
      <c r="AH18" s="1">
        <v>1092.2</v>
      </c>
      <c r="AI18" s="1">
        <v>861.2</v>
      </c>
      <c r="AJ18" s="1">
        <v>704.7</v>
      </c>
      <c r="AK18" s="1">
        <v>594.1</v>
      </c>
      <c r="AL18" s="1">
        <v>512.9</v>
      </c>
      <c r="AM18" s="1">
        <v>451.4</v>
      </c>
      <c r="AN18" s="1">
        <v>403.6</v>
      </c>
    </row>
    <row r="19" spans="1:40" x14ac:dyDescent="0.3">
      <c r="K19" s="12" t="str">
        <f>IF($D$8=$P$3,V19,IF($D$8=$O$3,AF19,0))</f>
        <v>B2</v>
      </c>
      <c r="L19" s="7">
        <f>IF($D$8=$P$3,W19,IF($D$8=$O$3,AG19,0))</f>
        <v>1268.0999999999999</v>
      </c>
      <c r="M19" s="1">
        <f>IF($D$8=$P$3,X19,IF($D$8=$O$3,AH19,0))</f>
        <v>955.7</v>
      </c>
      <c r="N19" s="1">
        <f>IF($D$8=$P$3,Y19,IF($D$8=$O$3,AI19,0))</f>
        <v>753.6</v>
      </c>
      <c r="O19" s="1">
        <f>IF($D$8=$P$3,Z19,IF($D$8=$O$3,AJ19,0))</f>
        <v>616.6</v>
      </c>
      <c r="P19" s="1">
        <f>IF($D$8=$P$3,AA19,IF($D$8=$O$3,AK19,0))</f>
        <v>519.70000000000005</v>
      </c>
      <c r="Q19" s="1">
        <f>IF($D$8=$P$3,AB19,IF($D$8=$O$3,AL19,0))</f>
        <v>448.7</v>
      </c>
      <c r="R19" s="1">
        <f>IF($D$8=$P$3,AC19,IF($D$8=$O$3,AM19,0))</f>
        <v>394.9</v>
      </c>
      <c r="S19" s="3">
        <f>IF($D$8=$P$3,AD19,IF($D$8=$O$3,AN19,0))</f>
        <v>353.1</v>
      </c>
      <c r="T19" s="29">
        <v>0</v>
      </c>
      <c r="V19" s="1" t="s">
        <v>16</v>
      </c>
      <c r="W19" s="1">
        <v>1146</v>
      </c>
      <c r="X19" s="1">
        <v>871.5</v>
      </c>
      <c r="Y19" s="1">
        <v>693.9</v>
      </c>
      <c r="Z19" s="1">
        <v>573.29999999999995</v>
      </c>
      <c r="AA19" s="1">
        <v>487.7</v>
      </c>
      <c r="AB19" s="1">
        <v>424.7</v>
      </c>
      <c r="AC19" s="1">
        <v>376.6</v>
      </c>
      <c r="AD19" s="1">
        <v>339.1</v>
      </c>
      <c r="AF19" s="1" t="s">
        <v>16</v>
      </c>
      <c r="AG19" s="1">
        <v>1268.0999999999999</v>
      </c>
      <c r="AH19" s="1">
        <v>955.7</v>
      </c>
      <c r="AI19" s="1">
        <v>753.6</v>
      </c>
      <c r="AJ19" s="1">
        <v>616.6</v>
      </c>
      <c r="AK19" s="1">
        <v>519.70000000000005</v>
      </c>
      <c r="AL19" s="1">
        <v>448.7</v>
      </c>
      <c r="AM19" s="1">
        <v>394.9</v>
      </c>
      <c r="AN19" s="1">
        <v>353.1</v>
      </c>
    </row>
    <row r="20" spans="1:40" x14ac:dyDescent="0.3">
      <c r="K20" s="12" t="str">
        <f>IF($D$8=$P$3,V20,IF($D$8=$O$3,AF20,0))</f>
        <v>C</v>
      </c>
      <c r="L20" s="7">
        <f>IF($D$8=$P$3,W20,IF($D$8=$O$3,AG20,0))</f>
        <v>1319.3</v>
      </c>
      <c r="M20" s="1">
        <f>IF($D$8=$P$3,X20,IF($D$8=$O$3,AH20,0))</f>
        <v>919.6</v>
      </c>
      <c r="N20" s="1">
        <f>IF($D$8=$P$3,Y20,IF($D$8=$O$3,AI20,0))</f>
        <v>688.1</v>
      </c>
      <c r="O20" s="1">
        <f>IF($D$8=$P$3,Z20,IF($D$8=$O$3,AJ20,0))</f>
        <v>542.79999999999995</v>
      </c>
      <c r="P20" s="1">
        <f>IF($D$8=$P$3,AA20,IF($D$8=$O$3,AK20,0))</f>
        <v>445.5</v>
      </c>
      <c r="Q20" s="1">
        <f>IF($D$8=$P$3,AB20,IF($D$8=$O$3,AL20,0))</f>
        <v>377.2</v>
      </c>
      <c r="R20" s="1">
        <f>IF($D$8=$P$3,AC20,IF($D$8=$O$3,AM20,0))</f>
        <v>326.89999999999998</v>
      </c>
      <c r="S20" s="3">
        <f>IF($D$8=$P$3,AD20,IF($D$8=$O$3,AN20,0))</f>
        <v>289</v>
      </c>
      <c r="T20" s="29">
        <v>0.05</v>
      </c>
      <c r="V20" s="1" t="s">
        <v>17</v>
      </c>
      <c r="W20" s="1">
        <v>1038.5</v>
      </c>
      <c r="X20" s="1">
        <v>745.5</v>
      </c>
      <c r="Y20" s="1">
        <v>573.6</v>
      </c>
      <c r="Z20" s="1">
        <v>464.3</v>
      </c>
      <c r="AA20" s="1">
        <v>389.8</v>
      </c>
      <c r="AB20" s="1">
        <v>336.7</v>
      </c>
      <c r="AC20" s="1">
        <v>297</v>
      </c>
      <c r="AD20" s="1">
        <v>266.5</v>
      </c>
      <c r="AF20" s="1" t="s">
        <v>17</v>
      </c>
      <c r="AG20" s="1">
        <v>1319.3</v>
      </c>
      <c r="AH20" s="1">
        <v>919.6</v>
      </c>
      <c r="AI20" s="1">
        <v>688.1</v>
      </c>
      <c r="AJ20" s="1">
        <v>542.79999999999995</v>
      </c>
      <c r="AK20" s="1">
        <v>445.5</v>
      </c>
      <c r="AL20" s="1">
        <v>377.2</v>
      </c>
      <c r="AM20" s="1">
        <v>326.89999999999998</v>
      </c>
      <c r="AN20" s="1">
        <v>289</v>
      </c>
    </row>
    <row r="21" spans="1:40" x14ac:dyDescent="0.3">
      <c r="K21" s="12" t="str">
        <f>IF($D$8=$P$3,V21,IF($D$8=$O$3,AF21,0))</f>
        <v>C1</v>
      </c>
      <c r="L21" s="7">
        <f>IF($D$8=$P$3,W21,IF($D$8=$O$3,AG21,0))</f>
        <v>1182</v>
      </c>
      <c r="M21" s="1">
        <f>IF($D$8=$P$3,X21,IF($D$8=$O$3,AH21,0))</f>
        <v>824</v>
      </c>
      <c r="N21" s="1">
        <f>IF($D$8=$P$3,Y21,IF($D$8=$O$3,AI21,0))</f>
        <v>616.5</v>
      </c>
      <c r="O21" s="1">
        <f>IF($D$8=$P$3,Z21,IF($D$8=$O$3,AJ21,0))</f>
        <v>486.2</v>
      </c>
      <c r="P21" s="1">
        <f>IF($D$8=$P$3,AA21,IF($D$8=$O$3,AK21,0))</f>
        <v>399.2</v>
      </c>
      <c r="Q21" s="1">
        <f>IF($D$8=$P$3,AB21,IF($D$8=$O$3,AL21,0))</f>
        <v>337.8</v>
      </c>
      <c r="R21" s="1">
        <f>IF($D$8=$P$3,AC21,IF($D$8=$O$3,AM21,0))</f>
        <v>292.89999999999998</v>
      </c>
      <c r="S21" s="3">
        <f>IF($D$8=$P$3,AD21,IF($D$8=$O$3,AN21,0))</f>
        <v>258.89999999999998</v>
      </c>
      <c r="T21" s="29">
        <v>0.1</v>
      </c>
      <c r="V21" s="1" t="s">
        <v>18</v>
      </c>
      <c r="W21" s="1">
        <v>930.5</v>
      </c>
      <c r="X21" s="1">
        <v>668</v>
      </c>
      <c r="Y21" s="1">
        <v>513.9</v>
      </c>
      <c r="Z21" s="1">
        <v>415.8</v>
      </c>
      <c r="AA21" s="1">
        <v>349.3</v>
      </c>
      <c r="AB21" s="1">
        <v>301.5</v>
      </c>
      <c r="AC21" s="1">
        <v>266.10000000000002</v>
      </c>
      <c r="AD21" s="1">
        <v>238.7</v>
      </c>
      <c r="AF21" s="1" t="s">
        <v>18</v>
      </c>
      <c r="AG21" s="1">
        <v>1182</v>
      </c>
      <c r="AH21" s="1">
        <v>824</v>
      </c>
      <c r="AI21" s="1">
        <v>616.5</v>
      </c>
      <c r="AJ21" s="1">
        <v>486.2</v>
      </c>
      <c r="AK21" s="1">
        <v>399.2</v>
      </c>
      <c r="AL21" s="1">
        <v>337.8</v>
      </c>
      <c r="AM21" s="1">
        <v>292.89999999999998</v>
      </c>
      <c r="AN21" s="1">
        <v>258.89999999999998</v>
      </c>
    </row>
    <row r="22" spans="1:40" x14ac:dyDescent="0.3">
      <c r="K22" s="12" t="str">
        <f>IF($D$8=$P$3,V22,IF($D$8=$O$3,AF22,0))</f>
        <v>C2</v>
      </c>
      <c r="L22" s="7">
        <f>IF($D$8=$P$3,W22,IF($D$8=$O$3,AG22,0))</f>
        <v>1055.3</v>
      </c>
      <c r="M22" s="1">
        <f>IF($D$8=$P$3,X22,IF($D$8=$O$3,AH22,0))</f>
        <v>735.6</v>
      </c>
      <c r="N22" s="1">
        <f>IF($D$8=$P$3,Y22,IF($D$8=$O$3,AI22,0))</f>
        <v>550.29999999999995</v>
      </c>
      <c r="O22" s="1">
        <f>IF($D$8=$P$3,Z22,IF($D$8=$O$3,AJ22,0))</f>
        <v>434.1</v>
      </c>
      <c r="P22" s="1">
        <f>IF($D$8=$P$3,AA22,IF($D$8=$O$3,AK22,0))</f>
        <v>356.3</v>
      </c>
      <c r="Q22" s="1">
        <f>IF($D$8=$P$3,AB22,IF($D$8=$O$3,AL22,0))</f>
        <v>301.60000000000002</v>
      </c>
      <c r="R22" s="1">
        <f>IF($D$8=$P$3,AC22,IF($D$8=$O$3,AM22,0))</f>
        <v>261.5</v>
      </c>
      <c r="S22" s="3">
        <f>IF($D$8=$P$3,AD22,IF($D$8=$O$3,AN22,0))</f>
        <v>231.1</v>
      </c>
      <c r="T22" s="29">
        <v>0.15</v>
      </c>
      <c r="V22" s="1" t="s">
        <v>19</v>
      </c>
      <c r="W22" s="1">
        <v>830.7</v>
      </c>
      <c r="X22" s="1">
        <v>596.29999999999995</v>
      </c>
      <c r="Y22" s="1">
        <v>458.7</v>
      </c>
      <c r="Z22" s="1">
        <v>371.3</v>
      </c>
      <c r="AA22" s="1">
        <v>311.7</v>
      </c>
      <c r="AB22" s="1">
        <v>269.2</v>
      </c>
      <c r="AC22" s="1">
        <v>237.6</v>
      </c>
      <c r="AD22" s="1">
        <v>213.1</v>
      </c>
      <c r="AF22" s="1" t="s">
        <v>19</v>
      </c>
      <c r="AG22" s="1">
        <v>1055.3</v>
      </c>
      <c r="AH22" s="1">
        <v>735.6</v>
      </c>
      <c r="AI22" s="1">
        <v>550.29999999999995</v>
      </c>
      <c r="AJ22" s="1">
        <v>434.1</v>
      </c>
      <c r="AK22" s="1">
        <v>356.3</v>
      </c>
      <c r="AL22" s="1">
        <v>301.60000000000002</v>
      </c>
      <c r="AM22" s="1">
        <v>261.5</v>
      </c>
      <c r="AN22" s="1">
        <v>231.1</v>
      </c>
    </row>
    <row r="23" spans="1:40" x14ac:dyDescent="0.3">
      <c r="K23" s="12" t="str">
        <f>IF($D$8=$P$3,V23,IF($D$8=$O$3,AF23,0))</f>
        <v>D and T</v>
      </c>
      <c r="L23" s="7">
        <f>IF($D$8=$P$3,W23,IF($D$8=$O$3,AG23,0))</f>
        <v>949.9</v>
      </c>
      <c r="M23" s="1">
        <f>IF($D$8=$P$3,X23,IF($D$8=$O$3,AH23,0))</f>
        <v>662.1</v>
      </c>
      <c r="N23" s="1">
        <f>IF($D$8=$P$3,Y23,IF($D$8=$O$3,AI23,0))</f>
        <v>495.4</v>
      </c>
      <c r="O23" s="1">
        <f>IF($D$8=$P$3,Z23,IF($D$8=$O$3,AJ23,0))</f>
        <v>390.7</v>
      </c>
      <c r="P23" s="1">
        <f>IF($D$8=$P$3,AA23,IF($D$8=$O$3,AK23,0))</f>
        <v>320.8</v>
      </c>
      <c r="Q23" s="1">
        <f>IF($D$8=$P$3,AB23,IF($D$8=$O$3,AL23,0))</f>
        <v>271.5</v>
      </c>
      <c r="R23" s="1">
        <f>IF($D$8=$P$3,AC23,IF($D$8=$O$3,AM23,0))</f>
        <v>235.4</v>
      </c>
      <c r="S23" s="3">
        <f>IF($D$8=$P$3,AD23,IF($D$8=$O$3,AN23,0))</f>
        <v>208.1</v>
      </c>
      <c r="T23" s="29">
        <v>0.2</v>
      </c>
      <c r="V23" s="1" t="s">
        <v>28</v>
      </c>
      <c r="W23" s="1">
        <v>747.8</v>
      </c>
      <c r="X23" s="1">
        <v>536.70000000000005</v>
      </c>
      <c r="Y23" s="1">
        <v>413</v>
      </c>
      <c r="Z23" s="1">
        <v>334.2</v>
      </c>
      <c r="AA23" s="1">
        <v>280.7</v>
      </c>
      <c r="AB23" s="1">
        <v>242.4</v>
      </c>
      <c r="AC23" s="1">
        <v>213.9</v>
      </c>
      <c r="AD23" s="1">
        <v>191.9</v>
      </c>
      <c r="AF23" s="1" t="s">
        <v>28</v>
      </c>
      <c r="AG23" s="1">
        <v>949.9</v>
      </c>
      <c r="AH23" s="1">
        <v>662.1</v>
      </c>
      <c r="AI23" s="1">
        <v>495.4</v>
      </c>
      <c r="AJ23" s="1">
        <v>390.7</v>
      </c>
      <c r="AK23" s="1">
        <v>320.8</v>
      </c>
      <c r="AL23" s="1">
        <v>271.5</v>
      </c>
      <c r="AM23" s="1">
        <v>235.4</v>
      </c>
      <c r="AN23" s="1">
        <v>208.1</v>
      </c>
    </row>
    <row r="24" spans="1:40" x14ac:dyDescent="0.3">
      <c r="K24" s="12" t="str">
        <f>IF($D$8=$P$3,V24,IF($D$8=$O$3,AF24,0))</f>
        <v>E</v>
      </c>
      <c r="L24" s="7">
        <f>IF($D$8=$P$3,W24,IF($D$8=$O$3,AG24,0))</f>
        <v>843.9</v>
      </c>
      <c r="M24" s="1">
        <f>IF($D$8=$P$3,X24,IF($D$8=$O$3,AH24,0))</f>
        <v>588.29999999999995</v>
      </c>
      <c r="N24" s="1">
        <f>IF($D$8=$P$3,Y24,IF($D$8=$O$3,AI24,0))</f>
        <v>440.2</v>
      </c>
      <c r="O24" s="1">
        <f>IF($D$8=$P$3,Z24,IF($D$8=$O$3,AJ24,0))</f>
        <v>347.2</v>
      </c>
      <c r="P24" s="1">
        <f>IF($D$8=$P$3,AA24,IF($D$8=$O$3,AK24,0))</f>
        <v>284.89999999999998</v>
      </c>
      <c r="Q24" s="1">
        <f>IF($D$8=$P$3,AB24,IF($D$8=$O$3,AL24,0))</f>
        <v>241.2</v>
      </c>
      <c r="R24" s="1">
        <f>IF($D$8=$P$3,AC24,IF($D$8=$O$3,AM24,0))</f>
        <v>209.2</v>
      </c>
      <c r="S24" s="3">
        <f>IF($D$8=$P$3,AD24,IF($D$8=$O$3,AN24,0))</f>
        <v>184.9</v>
      </c>
      <c r="T24" s="29">
        <v>0.2</v>
      </c>
      <c r="V24" s="1" t="s">
        <v>20</v>
      </c>
      <c r="W24" s="1">
        <v>664.3</v>
      </c>
      <c r="X24" s="1">
        <v>476.9</v>
      </c>
      <c r="Y24" s="1">
        <v>367</v>
      </c>
      <c r="Z24" s="1">
        <v>297</v>
      </c>
      <c r="AA24" s="1">
        <v>249.3</v>
      </c>
      <c r="AB24" s="1">
        <v>215.3</v>
      </c>
      <c r="AC24" s="1">
        <v>190.1</v>
      </c>
      <c r="AD24" s="1">
        <v>170.5</v>
      </c>
      <c r="AF24" s="1" t="s">
        <v>20</v>
      </c>
      <c r="AG24" s="1">
        <v>843.9</v>
      </c>
      <c r="AH24" s="1">
        <v>588.29999999999995</v>
      </c>
      <c r="AI24" s="1">
        <v>440.2</v>
      </c>
      <c r="AJ24" s="1">
        <v>347.2</v>
      </c>
      <c r="AK24" s="1">
        <v>284.89999999999998</v>
      </c>
      <c r="AL24" s="1">
        <v>241.2</v>
      </c>
      <c r="AM24" s="1">
        <v>209.2</v>
      </c>
      <c r="AN24" s="1">
        <v>184.9</v>
      </c>
    </row>
    <row r="25" spans="1:40" x14ac:dyDescent="0.3">
      <c r="K25" s="12" t="str">
        <f>IF($D$8=$P$3,V25,IF($D$8=$O$3,AF25,0))</f>
        <v>F</v>
      </c>
      <c r="L25" s="7">
        <f>IF($D$8=$P$3,W25,IF($D$8=$O$3,AG25,0))</f>
        <v>749.2</v>
      </c>
      <c r="M25" s="1">
        <f>IF($D$8=$P$3,X25,IF($D$8=$O$3,AH25,0))</f>
        <v>522.29999999999995</v>
      </c>
      <c r="N25" s="1">
        <f>IF($D$8=$P$3,Y25,IF($D$8=$O$3,AI25,0))</f>
        <v>390.8</v>
      </c>
      <c r="O25" s="1">
        <f>IF($D$8=$P$3,Z25,IF($D$8=$O$3,AJ25,0))</f>
        <v>308.2</v>
      </c>
      <c r="P25" s="1">
        <f>IF($D$8=$P$3,AA25,IF($D$8=$O$3,AK25,0))</f>
        <v>253</v>
      </c>
      <c r="Q25" s="1">
        <f>IF($D$8=$P$3,AB25,IF($D$8=$O$3,AL25,0))</f>
        <v>214.1</v>
      </c>
      <c r="R25" s="1">
        <f>IF($D$8=$P$3,AC25,IF($D$8=$O$3,AM25,0))</f>
        <v>185.6</v>
      </c>
      <c r="S25" s="3">
        <f>IF($D$8=$P$3,AD25,IF($D$8=$O$3,AN25,0))</f>
        <v>164.1</v>
      </c>
      <c r="T25" s="29">
        <v>0.25</v>
      </c>
      <c r="V25" s="1" t="s">
        <v>21</v>
      </c>
      <c r="W25" s="1">
        <v>589.79999999999995</v>
      </c>
      <c r="X25" s="1">
        <v>423.4</v>
      </c>
      <c r="Y25" s="1">
        <v>325.8</v>
      </c>
      <c r="Z25" s="1">
        <v>263.60000000000002</v>
      </c>
      <c r="AA25" s="1">
        <v>221.4</v>
      </c>
      <c r="AB25" s="1">
        <v>191.1</v>
      </c>
      <c r="AC25" s="1">
        <v>168.6</v>
      </c>
      <c r="AD25" s="1">
        <v>151.30000000000001</v>
      </c>
      <c r="AF25" s="1" t="s">
        <v>21</v>
      </c>
      <c r="AG25" s="1">
        <v>749.2</v>
      </c>
      <c r="AH25" s="1">
        <v>522.29999999999995</v>
      </c>
      <c r="AI25" s="1">
        <v>390.8</v>
      </c>
      <c r="AJ25" s="1">
        <v>308.2</v>
      </c>
      <c r="AK25" s="1">
        <v>253</v>
      </c>
      <c r="AL25" s="1">
        <v>214.1</v>
      </c>
      <c r="AM25" s="1">
        <v>185.6</v>
      </c>
      <c r="AN25" s="1">
        <v>164.1</v>
      </c>
    </row>
    <row r="26" spans="1:40" x14ac:dyDescent="0.3">
      <c r="K26" s="12" t="str">
        <f>IF($D$8=$P$3,V26,IF($D$8=$O$3,AF26,0))</f>
        <v>F1</v>
      </c>
      <c r="L26" s="7">
        <f>IF($D$8=$P$3,W26,IF($D$8=$O$3,AG26,0))</f>
        <v>664.8</v>
      </c>
      <c r="M26" s="1">
        <f>IF($D$8=$P$3,X26,IF($D$8=$O$3,AH26,0))</f>
        <v>463.4</v>
      </c>
      <c r="N26" s="1">
        <f>IF($D$8=$P$3,Y26,IF($D$8=$O$3,AI26,0))</f>
        <v>346.7</v>
      </c>
      <c r="O26" s="1">
        <f>IF($D$8=$P$3,Z26,IF($D$8=$O$3,AJ26,0))</f>
        <v>273.5</v>
      </c>
      <c r="P26" s="1">
        <f>IF($D$8=$P$3,AA26,IF($D$8=$O$3,AK26,0))</f>
        <v>224.5</v>
      </c>
      <c r="Q26" s="1">
        <f>IF($D$8=$P$3,AB26,IF($D$8=$O$3,AL26,0))</f>
        <v>190</v>
      </c>
      <c r="R26" s="1">
        <f>IF($D$8=$P$3,AC26,IF($D$8=$O$3,AM26,0))</f>
        <v>164.7</v>
      </c>
      <c r="S26" s="3">
        <f>IF($D$8=$P$3,AD26,IF($D$8=$O$3,AN26,0))</f>
        <v>145.6</v>
      </c>
      <c r="T26" s="29">
        <v>0.25</v>
      </c>
      <c r="V26" s="1" t="s">
        <v>22</v>
      </c>
      <c r="W26" s="1">
        <v>523.29999999999995</v>
      </c>
      <c r="X26" s="1">
        <v>375.7</v>
      </c>
      <c r="Y26" s="1">
        <v>289</v>
      </c>
      <c r="Z26" s="1">
        <v>233.9</v>
      </c>
      <c r="AA26" s="1">
        <v>196.4</v>
      </c>
      <c r="AB26" s="1">
        <v>169.6</v>
      </c>
      <c r="AC26" s="1">
        <v>149.6</v>
      </c>
      <c r="AD26" s="1">
        <v>134.30000000000001</v>
      </c>
      <c r="AF26" s="1" t="s">
        <v>22</v>
      </c>
      <c r="AG26" s="1">
        <v>664.8</v>
      </c>
      <c r="AH26" s="1">
        <v>463.4</v>
      </c>
      <c r="AI26" s="1">
        <v>346.7</v>
      </c>
      <c r="AJ26" s="1">
        <v>273.5</v>
      </c>
      <c r="AK26" s="1">
        <v>224.5</v>
      </c>
      <c r="AL26" s="1">
        <v>190</v>
      </c>
      <c r="AM26" s="1">
        <v>164.7</v>
      </c>
      <c r="AN26" s="1">
        <v>145.6</v>
      </c>
    </row>
    <row r="27" spans="1:40" x14ac:dyDescent="0.3">
      <c r="K27" s="12" t="str">
        <f>IF($D$8=$P$3,V27,IF($D$8=$O$3,AF27,0))</f>
        <v>F3</v>
      </c>
      <c r="L27" s="7">
        <f>IF($D$8=$P$3,W27,IF($D$8=$O$3,AG27,0))</f>
        <v>591.1</v>
      </c>
      <c r="M27" s="1">
        <f>IF($D$8=$P$3,X27,IF($D$8=$O$3,AH27,0))</f>
        <v>412</v>
      </c>
      <c r="N27" s="1">
        <f>IF($D$8=$P$3,Y27,IF($D$8=$O$3,AI27,0))</f>
        <v>308.3</v>
      </c>
      <c r="O27" s="1">
        <f>IF($D$8=$P$3,Z27,IF($D$8=$O$3,AJ27,0))</f>
        <v>243.2</v>
      </c>
      <c r="P27" s="1">
        <f>IF($D$8=$P$3,AA27,IF($D$8=$O$3,AK27,0))</f>
        <v>199.6</v>
      </c>
      <c r="Q27" s="1">
        <f>IF($D$8=$P$3,AB27,IF($D$8=$O$3,AL27,0))</f>
        <v>169</v>
      </c>
      <c r="R27" s="1">
        <f>IF($D$8=$P$3,AC27,IF($D$8=$O$3,AM27,0))</f>
        <v>146.5</v>
      </c>
      <c r="S27" s="3">
        <f>IF($D$8=$P$3,AD27,IF($D$8=$O$3,AN27,0))</f>
        <v>129.4</v>
      </c>
      <c r="T27" s="29">
        <v>0.25</v>
      </c>
      <c r="V27" s="1" t="s">
        <v>23</v>
      </c>
      <c r="W27" s="1">
        <v>465.3</v>
      </c>
      <c r="X27" s="1">
        <v>334</v>
      </c>
      <c r="Y27" s="1">
        <v>257</v>
      </c>
      <c r="Z27" s="1">
        <v>208</v>
      </c>
      <c r="AA27" s="1">
        <v>174.6</v>
      </c>
      <c r="AB27" s="1">
        <v>150.9</v>
      </c>
      <c r="AC27" s="1">
        <v>133.1</v>
      </c>
      <c r="AD27" s="1">
        <v>119.3</v>
      </c>
      <c r="AF27" s="1" t="s">
        <v>23</v>
      </c>
      <c r="AG27" s="1">
        <v>591.1</v>
      </c>
      <c r="AH27" s="1">
        <v>412</v>
      </c>
      <c r="AI27" s="1">
        <v>308.3</v>
      </c>
      <c r="AJ27" s="1">
        <v>243.2</v>
      </c>
      <c r="AK27" s="1">
        <v>199.6</v>
      </c>
      <c r="AL27" s="1">
        <v>169</v>
      </c>
      <c r="AM27" s="1">
        <v>146.5</v>
      </c>
      <c r="AN27" s="1">
        <v>129.4</v>
      </c>
    </row>
    <row r="28" spans="1:40" x14ac:dyDescent="0.3">
      <c r="K28" s="12" t="str">
        <f>IF($D$8=$P$3,V28,IF($D$8=$O$3,AF28,0))</f>
        <v>G</v>
      </c>
      <c r="L28" s="7">
        <f>IF($D$8=$P$3,W28,IF($D$8=$O$3,AG28,0))</f>
        <v>527.6</v>
      </c>
      <c r="M28" s="1">
        <f>IF($D$8=$P$3,X28,IF($D$8=$O$3,AH28,0))</f>
        <v>367.8</v>
      </c>
      <c r="N28" s="1">
        <f>IF($D$8=$P$3,Y28,IF($D$8=$O$3,AI28,0))</f>
        <v>275.2</v>
      </c>
      <c r="O28" s="1">
        <f>IF($D$8=$P$3,Z28,IF($D$8=$O$3,AJ28,0))</f>
        <v>217.1</v>
      </c>
      <c r="P28" s="1">
        <f>IF($D$8=$P$3,AA28,IF($D$8=$O$3,AK28,0))</f>
        <v>178.2</v>
      </c>
      <c r="Q28" s="1">
        <f>IF($D$8=$P$3,AB28,IF($D$8=$O$3,AL28,0))</f>
        <v>150.80000000000001</v>
      </c>
      <c r="R28" s="1">
        <f>IF($D$8=$P$3,AC28,IF($D$8=$O$3,AM28,0))</f>
        <v>130.80000000000001</v>
      </c>
      <c r="S28" s="3">
        <f>IF($D$8=$P$3,AD28,IF($D$8=$O$3,AN28,0))</f>
        <v>115.6</v>
      </c>
      <c r="T28" s="29">
        <v>0.25</v>
      </c>
      <c r="V28" s="1" t="s">
        <v>24</v>
      </c>
      <c r="W28" s="1">
        <v>415.3</v>
      </c>
      <c r="X28" s="1">
        <v>298.2</v>
      </c>
      <c r="Y28" s="1">
        <v>229.4</v>
      </c>
      <c r="Z28" s="1">
        <v>185.7</v>
      </c>
      <c r="AA28" s="1">
        <v>155.9</v>
      </c>
      <c r="AB28" s="1">
        <v>134.6</v>
      </c>
      <c r="AC28" s="1">
        <v>118.8</v>
      </c>
      <c r="AD28" s="1">
        <v>106.6</v>
      </c>
      <c r="AF28" s="1" t="s">
        <v>24</v>
      </c>
      <c r="AG28" s="1">
        <v>527.6</v>
      </c>
      <c r="AH28" s="1">
        <v>367.8</v>
      </c>
      <c r="AI28" s="1">
        <v>275.2</v>
      </c>
      <c r="AJ28" s="1">
        <v>217.1</v>
      </c>
      <c r="AK28" s="1">
        <v>178.2</v>
      </c>
      <c r="AL28" s="1">
        <v>150.80000000000001</v>
      </c>
      <c r="AM28" s="1">
        <v>130.80000000000001</v>
      </c>
      <c r="AN28" s="1">
        <v>115.6</v>
      </c>
    </row>
    <row r="29" spans="1:40" x14ac:dyDescent="0.3">
      <c r="K29" s="12" t="str">
        <f>IF($D$8=$P$3,V29,IF($D$8=$O$3,AF29,0))</f>
        <v>W1</v>
      </c>
      <c r="L29" s="7">
        <f>IF($D$8=$P$3,W29,IF($D$8=$O$3,AG29,0))</f>
        <v>475</v>
      </c>
      <c r="M29" s="1">
        <f>IF($D$8=$P$3,X29,IF($D$8=$O$3,AH29,0))</f>
        <v>331</v>
      </c>
      <c r="N29" s="1">
        <f>IF($D$8=$P$3,Y29,IF($D$8=$O$3,AI29,0))</f>
        <v>247.8</v>
      </c>
      <c r="O29" s="1">
        <f>IF($D$8=$P$3,Z29,IF($D$8=$O$3,AJ29,0))</f>
        <v>195.4</v>
      </c>
      <c r="P29" s="1">
        <f>IF($D$8=$P$3,AA29,IF($D$8=$O$3,AK29,0))</f>
        <v>160.4</v>
      </c>
      <c r="Q29" s="1">
        <f>IF($D$8=$P$3,AB29,IF($D$8=$O$3,AL29,0))</f>
        <v>135.80000000000001</v>
      </c>
      <c r="R29" s="1">
        <f>IF($D$8=$P$3,AC29,IF($D$8=$O$3,AM29,0))</f>
        <v>117.7</v>
      </c>
      <c r="S29" s="3">
        <f>IF($D$8=$P$3,AD29,IF($D$8=$O$3,AN29,0))</f>
        <v>104</v>
      </c>
      <c r="T29" s="29">
        <v>0.25</v>
      </c>
      <c r="V29" s="1" t="s">
        <v>25</v>
      </c>
      <c r="W29" s="1">
        <v>373.9</v>
      </c>
      <c r="X29" s="1">
        <v>268.3</v>
      </c>
      <c r="Y29" s="1">
        <v>206.6</v>
      </c>
      <c r="Z29" s="1">
        <v>167.1</v>
      </c>
      <c r="AA29" s="1">
        <v>140.30000000000001</v>
      </c>
      <c r="AB29" s="1">
        <v>121.2</v>
      </c>
      <c r="AC29" s="1">
        <v>106.9</v>
      </c>
      <c r="AD29" s="1">
        <v>95.9</v>
      </c>
      <c r="AF29" s="1" t="s">
        <v>25</v>
      </c>
      <c r="AG29" s="1">
        <v>475</v>
      </c>
      <c r="AH29" s="1">
        <v>331</v>
      </c>
      <c r="AI29" s="1">
        <v>247.8</v>
      </c>
      <c r="AJ29" s="1">
        <v>195.4</v>
      </c>
      <c r="AK29" s="1">
        <v>160.4</v>
      </c>
      <c r="AL29" s="1">
        <v>135.80000000000001</v>
      </c>
      <c r="AM29" s="1">
        <v>117.7</v>
      </c>
      <c r="AN29" s="1">
        <v>104</v>
      </c>
    </row>
    <row r="30" spans="1:40" x14ac:dyDescent="0.3">
      <c r="K30" s="12" t="str">
        <f>IF($D$8=$P$3,V30,IF($D$8=$O$3,AF30,0))</f>
        <v>W2</v>
      </c>
      <c r="L30" s="7">
        <f>IF($D$8=$P$3,W30,IF($D$8=$O$3,AG30,0))</f>
        <v>422.1</v>
      </c>
      <c r="M30" s="1">
        <f>IF($D$8=$P$3,X30,IF($D$8=$O$3,AH30,0))</f>
        <v>294.10000000000002</v>
      </c>
      <c r="N30" s="1">
        <f>IF($D$8=$P$3,Y30,IF($D$8=$O$3,AI30,0))</f>
        <v>220.1</v>
      </c>
      <c r="O30" s="1">
        <f>IF($D$8=$P$3,Z30,IF($D$8=$O$3,AJ30,0))</f>
        <v>173.6</v>
      </c>
      <c r="P30" s="1">
        <f>IF($D$8=$P$3,AA30,IF($D$8=$O$3,AK30,0))</f>
        <v>142.5</v>
      </c>
      <c r="Q30" s="1">
        <f>IF($D$8=$P$3,AB30,IF($D$8=$O$3,AL30,0))</f>
        <v>120.6</v>
      </c>
      <c r="R30" s="1">
        <f>IF($D$8=$P$3,AC30,IF($D$8=$O$3,AM30,0))</f>
        <v>104.6</v>
      </c>
      <c r="S30" s="3">
        <f>IF($D$8=$P$3,AD30,IF($D$8=$O$3,AN30,0))</f>
        <v>92.5</v>
      </c>
      <c r="T30" s="29">
        <v>0.25</v>
      </c>
      <c r="V30" s="1" t="s">
        <v>26</v>
      </c>
      <c r="W30" s="1">
        <v>332.3</v>
      </c>
      <c r="X30" s="1">
        <v>238.4</v>
      </c>
      <c r="Y30" s="1">
        <v>183.5</v>
      </c>
      <c r="Z30" s="1">
        <v>148.5</v>
      </c>
      <c r="AA30" s="1">
        <v>124.7</v>
      </c>
      <c r="AB30" s="1">
        <v>107.7</v>
      </c>
      <c r="AC30" s="1">
        <v>95</v>
      </c>
      <c r="AD30" s="1">
        <v>85.3</v>
      </c>
      <c r="AF30" s="1" t="s">
        <v>26</v>
      </c>
      <c r="AG30" s="1">
        <v>422.1</v>
      </c>
      <c r="AH30" s="1">
        <v>294.10000000000002</v>
      </c>
      <c r="AI30" s="1">
        <v>220.1</v>
      </c>
      <c r="AJ30" s="1">
        <v>173.6</v>
      </c>
      <c r="AK30" s="1">
        <v>142.5</v>
      </c>
      <c r="AL30" s="1">
        <v>120.6</v>
      </c>
      <c r="AM30" s="1">
        <v>104.6</v>
      </c>
      <c r="AN30" s="1">
        <v>92.5</v>
      </c>
    </row>
    <row r="31" spans="1:40" ht="15" thickBot="1" x14ac:dyDescent="0.35">
      <c r="K31" s="17" t="str">
        <f>IF($D$8=$P$3,V31,IF($D$8=$O$3,AF31,0))</f>
        <v>W3</v>
      </c>
      <c r="L31" s="18">
        <f>IF($D$8=$P$3,W31,IF($D$8=$O$3,AG31,0))</f>
        <v>379.9</v>
      </c>
      <c r="M31" s="2">
        <f>IF($D$8=$P$3,X31,IF($D$8=$O$3,AH31,0))</f>
        <v>264.8</v>
      </c>
      <c r="N31" s="2">
        <f>IF($D$8=$P$3,Y31,IF($D$8=$O$3,AI31,0))</f>
        <v>198.2</v>
      </c>
      <c r="O31" s="2">
        <f>IF($D$8=$P$3,Z31,IF($D$8=$O$3,AJ31,0))</f>
        <v>156</v>
      </c>
      <c r="P31" s="2">
        <f>IF($D$8=$P$3,AA31,IF($D$8=$O$3,AK31,0))</f>
        <v>128.19999999999999</v>
      </c>
      <c r="Q31" s="2">
        <f>IF($D$8=$P$3,AB31,IF($D$8=$O$3,AL31,0))</f>
        <v>108.6</v>
      </c>
      <c r="R31" s="2">
        <f>IF($D$8=$P$3,AC31,IF($D$8=$O$3,AM31,0))</f>
        <v>94.2</v>
      </c>
      <c r="S31" s="27">
        <f>IF($D$8=$P$3,AD31,IF($D$8=$O$3,AN31,0))</f>
        <v>83.2</v>
      </c>
      <c r="T31" s="30">
        <v>0.25</v>
      </c>
      <c r="V31" s="1" t="s">
        <v>27</v>
      </c>
      <c r="W31" s="1">
        <v>299.10000000000002</v>
      </c>
      <c r="X31" s="1">
        <v>214.7</v>
      </c>
      <c r="Y31" s="1">
        <v>165.2</v>
      </c>
      <c r="Z31" s="1">
        <v>133.4</v>
      </c>
      <c r="AA31" s="1">
        <v>112.2</v>
      </c>
      <c r="AB31" s="1">
        <v>96.9</v>
      </c>
      <c r="AC31" s="1">
        <v>85.6</v>
      </c>
      <c r="AD31" s="1">
        <v>76.7</v>
      </c>
      <c r="AF31" s="1" t="s">
        <v>27</v>
      </c>
      <c r="AG31" s="1">
        <v>379.9</v>
      </c>
      <c r="AH31" s="1">
        <v>264.8</v>
      </c>
      <c r="AI31" s="1">
        <v>198.2</v>
      </c>
      <c r="AJ31" s="1">
        <v>156</v>
      </c>
      <c r="AK31" s="1">
        <v>128.19999999999999</v>
      </c>
      <c r="AL31" s="1">
        <v>108.6</v>
      </c>
      <c r="AM31" s="1">
        <v>94.2</v>
      </c>
      <c r="AN31" s="1">
        <v>83.2</v>
      </c>
    </row>
    <row r="32" spans="1:40" ht="15" thickBot="1" x14ac:dyDescent="0.35">
      <c r="J32" s="22" t="s">
        <v>43</v>
      </c>
      <c r="K32" s="21" t="str">
        <f>D4</f>
        <v>F3</v>
      </c>
      <c r="L32" s="19">
        <f ca="1">OFFSET(L18,MATCH($K$32,$K$18:$K$31,0)-1,0,1,1)</f>
        <v>591.1</v>
      </c>
      <c r="M32" s="19">
        <f t="shared" ref="M32:S32" ca="1" si="0">OFFSET(M18,MATCH($K$32,$K$18:$K$31,0)-1,0,1,1)</f>
        <v>412</v>
      </c>
      <c r="N32" s="19">
        <f t="shared" ca="1" si="0"/>
        <v>308.3</v>
      </c>
      <c r="O32" s="19">
        <f t="shared" ca="1" si="0"/>
        <v>243.2</v>
      </c>
      <c r="P32" s="19">
        <f t="shared" ca="1" si="0"/>
        <v>199.6</v>
      </c>
      <c r="Q32" s="19">
        <f t="shared" ca="1" si="0"/>
        <v>169</v>
      </c>
      <c r="R32" s="19">
        <f t="shared" ca="1" si="0"/>
        <v>146.5</v>
      </c>
      <c r="S32" s="20">
        <f t="shared" ca="1" si="0"/>
        <v>129.4</v>
      </c>
      <c r="T32" s="33">
        <f ca="1">OFFSET(T18,MATCH(K32,K18:K31,0)-1,0,1,1)</f>
        <v>0.25</v>
      </c>
    </row>
    <row r="36" spans="11:40" ht="15" thickBot="1" x14ac:dyDescent="0.35"/>
    <row r="37" spans="11:40" ht="34.799999999999997" customHeight="1" x14ac:dyDescent="0.3">
      <c r="K37" s="61" t="s">
        <v>32</v>
      </c>
      <c r="L37" s="58" t="s">
        <v>33</v>
      </c>
      <c r="M37" s="59"/>
      <c r="N37" s="59"/>
      <c r="O37" s="59"/>
      <c r="P37" s="59"/>
      <c r="Q37" s="59"/>
      <c r="R37" s="59"/>
      <c r="S37" s="60"/>
      <c r="V37" s="55" t="s">
        <v>32</v>
      </c>
      <c r="W37" s="57" t="s">
        <v>33</v>
      </c>
      <c r="X37" s="57"/>
      <c r="Y37" s="57"/>
      <c r="Z37" s="57"/>
      <c r="AA37" s="57"/>
      <c r="AB37" s="57"/>
      <c r="AC37" s="57"/>
      <c r="AD37" s="57"/>
      <c r="AF37" s="55" t="s">
        <v>32</v>
      </c>
      <c r="AG37" s="57" t="s">
        <v>34</v>
      </c>
      <c r="AH37" s="57"/>
      <c r="AI37" s="57"/>
      <c r="AJ37" s="57"/>
      <c r="AK37" s="57"/>
      <c r="AL37" s="57"/>
      <c r="AM37" s="57"/>
      <c r="AN37" s="57"/>
    </row>
    <row r="38" spans="11:40" ht="15" thickBot="1" x14ac:dyDescent="0.35">
      <c r="K38" s="62"/>
      <c r="L38" s="15">
        <f>IF($D$8=$P$3,W38,IF($D$8=$O$3,AG38,0))</f>
        <v>0.5</v>
      </c>
      <c r="M38" s="2">
        <f>IF($D$8=$P$3,X38,IF($D$8=$O$3,AH38,0))</f>
        <v>0.6</v>
      </c>
      <c r="N38" s="2">
        <f>IF($D$8=$P$3,Y38,IF($D$8=$O$3,AI38,0))</f>
        <v>0.7</v>
      </c>
      <c r="O38" s="2">
        <f>IF($D$8=$P$3,Z38,IF($D$8=$O$3,AJ38,0))</f>
        <v>0.8</v>
      </c>
      <c r="P38" s="2">
        <f>IF($D$8=$P$3,AA38,IF($D$8=$O$3,AK38,0))</f>
        <v>0.9</v>
      </c>
      <c r="Q38" s="2">
        <f>IF($D$8=$P$3,AB38,IF($D$8=$O$3,AL38,0))</f>
        <v>1</v>
      </c>
      <c r="R38" s="2">
        <f>IF($D$8=$P$3,AC38,IF($D$8=$O$3,AM38,0))</f>
        <v>1.1000000000000001</v>
      </c>
      <c r="S38" s="14">
        <f>IF($D$8=$P$3,AD38,IF($D$8=$O$3,AN38,0))</f>
        <v>1.2</v>
      </c>
      <c r="V38" s="56"/>
      <c r="W38" s="1">
        <v>0.5</v>
      </c>
      <c r="X38" s="1">
        <v>0.6</v>
      </c>
      <c r="Y38" s="1">
        <v>0.7</v>
      </c>
      <c r="Z38" s="1">
        <v>0.8</v>
      </c>
      <c r="AA38" s="1">
        <v>0.9</v>
      </c>
      <c r="AB38" s="1">
        <v>1</v>
      </c>
      <c r="AC38" s="1">
        <v>1.1000000000000001</v>
      </c>
      <c r="AD38" s="1">
        <v>1.2</v>
      </c>
      <c r="AF38" s="56"/>
      <c r="AG38" s="1">
        <v>0.5</v>
      </c>
      <c r="AH38" s="1">
        <v>0.6</v>
      </c>
      <c r="AI38" s="1">
        <v>0.7</v>
      </c>
      <c r="AJ38" s="1">
        <v>0.8</v>
      </c>
      <c r="AK38" s="1">
        <v>0.9</v>
      </c>
      <c r="AL38" s="1">
        <v>1</v>
      </c>
      <c r="AM38" s="1">
        <v>1.1000000000000001</v>
      </c>
      <c r="AN38" s="1">
        <v>1.2</v>
      </c>
    </row>
    <row r="39" spans="11:40" x14ac:dyDescent="0.3">
      <c r="K39" s="16">
        <f>IF($D$8=$P$3,V39,IF($D$8=$O$3,AF39,0))</f>
        <v>0.1</v>
      </c>
      <c r="L39" s="4">
        <f>IF($D$8=$P$3,W39,IF($D$8=$O$3,AG39,0))</f>
        <v>0.56999999999999995</v>
      </c>
      <c r="M39" s="5">
        <f>IF($D$8=$P$3,X39,IF($D$8=$O$3,AH39,0))</f>
        <v>0.57499999999999996</v>
      </c>
      <c r="N39" s="5">
        <f>IF($D$8=$P$3,Y39,IF($D$8=$O$3,AI39,0))</f>
        <v>0.58099999999999996</v>
      </c>
      <c r="O39" s="5">
        <f>IF($D$8=$P$3,Z39,IF($D$8=$O$3,AJ39,0))</f>
        <v>0.58699999999999997</v>
      </c>
      <c r="P39" s="5">
        <f>IF($D$8=$P$3,AA39,IF($D$8=$O$3,AK39,0))</f>
        <v>0.59199999999999997</v>
      </c>
      <c r="Q39" s="5">
        <f>IF($D$8=$P$3,AB39,IF($D$8=$O$3,AL39,0))</f>
        <v>0.59699999999999998</v>
      </c>
      <c r="R39" s="5">
        <f>IF($D$8=$P$3,AC39,IF($D$8=$O$3,AM39,0))</f>
        <v>0.60199999999999998</v>
      </c>
      <c r="S39" s="6">
        <f>IF($D$8=$P$3,AD39,IF($D$8=$O$3,AN39,0))</f>
        <v>0.60299999999999998</v>
      </c>
      <c r="V39" s="1">
        <v>0.1</v>
      </c>
      <c r="W39" s="1">
        <v>0.58299999999999996</v>
      </c>
      <c r="X39" s="1">
        <v>0.59299999999999997</v>
      </c>
      <c r="Y39" s="1">
        <v>0.60199999999999998</v>
      </c>
      <c r="Z39" s="1">
        <v>0.61</v>
      </c>
      <c r="AA39" s="1">
        <v>0.61699999999999999</v>
      </c>
      <c r="AB39" s="1">
        <v>0.621</v>
      </c>
      <c r="AC39" s="1">
        <v>0.625</v>
      </c>
      <c r="AD39" s="1">
        <v>0.627</v>
      </c>
      <c r="AF39" s="1">
        <v>0.1</v>
      </c>
      <c r="AG39" s="1">
        <v>0.56999999999999995</v>
      </c>
      <c r="AH39" s="1">
        <v>0.57499999999999996</v>
      </c>
      <c r="AI39" s="1">
        <v>0.58099999999999996</v>
      </c>
      <c r="AJ39" s="1">
        <v>0.58699999999999997</v>
      </c>
      <c r="AK39" s="1">
        <v>0.59199999999999997</v>
      </c>
      <c r="AL39" s="1">
        <v>0.59699999999999998</v>
      </c>
      <c r="AM39" s="1">
        <v>0.60199999999999998</v>
      </c>
      <c r="AN39" s="1">
        <v>0.60299999999999998</v>
      </c>
    </row>
    <row r="40" spans="11:40" x14ac:dyDescent="0.3">
      <c r="K40" s="12">
        <f>IF($D$8=$P$3,V40,IF($D$8=$O$3,AF40,0))</f>
        <v>0.2</v>
      </c>
      <c r="L40" s="7">
        <f>IF($D$8=$P$3,W40,IF($D$8=$O$3,AG40,0))</f>
        <v>0.67400000000000004</v>
      </c>
      <c r="M40" s="1">
        <f>IF($D$8=$P$3,X40,IF($D$8=$O$3,AH40,0))</f>
        <v>0.67800000000000005</v>
      </c>
      <c r="N40" s="1">
        <f>IF($D$8=$P$3,Y40,IF($D$8=$O$3,AI40,0))</f>
        <v>0.68200000000000005</v>
      </c>
      <c r="O40" s="1">
        <f>IF($D$8=$P$3,Z40,IF($D$8=$O$3,AJ40,0))</f>
        <v>0.68600000000000005</v>
      </c>
      <c r="P40" s="1">
        <f>IF($D$8=$P$3,AA40,IF($D$8=$O$3,AK40,0))</f>
        <v>0.69</v>
      </c>
      <c r="Q40" s="1">
        <f>IF($D$8=$P$3,AB40,IF($D$8=$O$3,AL40,0))</f>
        <v>0.69399999999999995</v>
      </c>
      <c r="R40" s="1">
        <f>IF($D$8=$P$3,AC40,IF($D$8=$O$3,AM40,0))</f>
        <v>0.69799999999999995</v>
      </c>
      <c r="S40" s="8">
        <f>IF($D$8=$P$3,AD40,IF($D$8=$O$3,AN40,0))</f>
        <v>0.70099999999999996</v>
      </c>
      <c r="V40" s="1">
        <v>0.2</v>
      </c>
      <c r="W40" s="1">
        <v>0.68400000000000005</v>
      </c>
      <c r="X40" s="1">
        <v>0.69099999999999995</v>
      </c>
      <c r="Y40" s="1">
        <v>0.69899999999999995</v>
      </c>
      <c r="Z40" s="1">
        <v>0.70499999999999996</v>
      </c>
      <c r="AA40" s="1">
        <v>0.71099999999999997</v>
      </c>
      <c r="AB40" s="1">
        <v>0.71499999999999997</v>
      </c>
      <c r="AC40" s="1">
        <v>0.71799999999999997</v>
      </c>
      <c r="AD40" s="1">
        <v>0.72</v>
      </c>
      <c r="AF40" s="1">
        <v>0.2</v>
      </c>
      <c r="AG40" s="1">
        <v>0.67400000000000004</v>
      </c>
      <c r="AH40" s="1">
        <v>0.67800000000000005</v>
      </c>
      <c r="AI40" s="1">
        <v>0.68200000000000005</v>
      </c>
      <c r="AJ40" s="1">
        <v>0.68600000000000005</v>
      </c>
      <c r="AK40" s="1">
        <v>0.69</v>
      </c>
      <c r="AL40" s="1">
        <v>0.69399999999999995</v>
      </c>
      <c r="AM40" s="1">
        <v>0.69799999999999995</v>
      </c>
      <c r="AN40" s="1">
        <v>0.70099999999999996</v>
      </c>
    </row>
    <row r="41" spans="11:40" x14ac:dyDescent="0.3">
      <c r="K41" s="12">
        <f>IF($D$8=$P$3,V41,IF($D$8=$O$3,AF41,0))</f>
        <v>0.22</v>
      </c>
      <c r="L41" s="7">
        <f>IF($D$8=$P$3,W41,IF($D$8=$O$3,AG41,0))</f>
        <v>0.69</v>
      </c>
      <c r="M41" s="1">
        <f>IF($D$8=$P$3,X41,IF($D$8=$O$3,AH41,0))</f>
        <v>0.69299999999999995</v>
      </c>
      <c r="N41" s="1">
        <f>IF($D$8=$P$3,Y41,IF($D$8=$O$3,AI41,0))</f>
        <v>0.69699999999999995</v>
      </c>
      <c r="O41" s="1">
        <f>IF($D$8=$P$3,Z41,IF($D$8=$O$3,AJ41,0))</f>
        <v>0.70099999999999996</v>
      </c>
      <c r="P41" s="1">
        <f>IF($D$8=$P$3,AA41,IF($D$8=$O$3,AK41,0))</f>
        <v>0.70499999999999996</v>
      </c>
      <c r="Q41" s="1">
        <f>IF($D$8=$P$3,AB41,IF($D$8=$O$3,AL41,0))</f>
        <v>0.70899999999999996</v>
      </c>
      <c r="R41" s="1">
        <f>IF($D$8=$P$3,AC41,IF($D$8=$O$3,AM41,0))</f>
        <v>0.71199999999999997</v>
      </c>
      <c r="S41" s="8">
        <f>IF($D$8=$P$3,AD41,IF($D$8=$O$3,AN41,0))</f>
        <v>0.71499999999999997</v>
      </c>
      <c r="V41" s="1">
        <v>0.22</v>
      </c>
      <c r="W41" s="1">
        <v>0.69899999999999995</v>
      </c>
      <c r="X41" s="1">
        <v>0.70599999999999996</v>
      </c>
      <c r="Y41" s="1">
        <v>0.71399999999999997</v>
      </c>
      <c r="Z41" s="1">
        <v>0.72</v>
      </c>
      <c r="AA41" s="1">
        <v>0.72499999999999998</v>
      </c>
      <c r="AB41" s="1">
        <v>0.72899999999999998</v>
      </c>
      <c r="AC41" s="1">
        <v>0.73199999999999998</v>
      </c>
      <c r="AD41" s="1">
        <v>0.73499999999999999</v>
      </c>
      <c r="AF41" s="1">
        <v>0.22</v>
      </c>
      <c r="AG41" s="1">
        <v>0.69</v>
      </c>
      <c r="AH41" s="1">
        <v>0.69299999999999995</v>
      </c>
      <c r="AI41" s="1">
        <v>0.69699999999999995</v>
      </c>
      <c r="AJ41" s="1">
        <v>0.70099999999999996</v>
      </c>
      <c r="AK41" s="1">
        <v>0.70499999999999996</v>
      </c>
      <c r="AL41" s="1">
        <v>0.70899999999999996</v>
      </c>
      <c r="AM41" s="1">
        <v>0.71199999999999997</v>
      </c>
      <c r="AN41" s="1">
        <v>0.71499999999999997</v>
      </c>
    </row>
    <row r="42" spans="11:40" x14ac:dyDescent="0.3">
      <c r="K42" s="12">
        <f>IF($D$8=$P$3,V42,IF($D$8=$O$3,AF42,0))</f>
        <v>0.27</v>
      </c>
      <c r="L42" s="7">
        <f>IF($D$8=$P$3,W42,IF($D$8=$O$3,AG42,0))</f>
        <v>0.72499999999999998</v>
      </c>
      <c r="M42" s="1">
        <f>IF($D$8=$P$3,X42,IF($D$8=$O$3,AH42,0))</f>
        <v>0.72799999999999998</v>
      </c>
      <c r="N42" s="1">
        <f>IF($D$8=$P$3,Y42,IF($D$8=$O$3,AI42,0))</f>
        <v>0.73099999999999998</v>
      </c>
      <c r="O42" s="1">
        <f>IF($D$8=$P$3,Z42,IF($D$8=$O$3,AJ42,0))</f>
        <v>0.73499999999999999</v>
      </c>
      <c r="P42" s="1">
        <f>IF($D$8=$P$3,AA42,IF($D$8=$O$3,AK42,0))</f>
        <v>0.73799999999999999</v>
      </c>
      <c r="Q42" s="1">
        <f>IF($D$8=$P$3,AB42,IF($D$8=$O$3,AL42,0))</f>
        <v>0.74199999999999999</v>
      </c>
      <c r="R42" s="1">
        <f>IF($D$8=$P$3,AC42,IF($D$8=$O$3,AM42,0))</f>
        <v>0.745</v>
      </c>
      <c r="S42" s="8">
        <f>IF($D$8=$P$3,AD42,IF($D$8=$O$3,AN42,0))</f>
        <v>0.748</v>
      </c>
      <c r="V42" s="1">
        <v>0.27</v>
      </c>
      <c r="W42" s="1">
        <v>0.73299999999999998</v>
      </c>
      <c r="X42" s="1">
        <v>0.74</v>
      </c>
      <c r="Y42" s="1">
        <v>0.746</v>
      </c>
      <c r="Z42" s="1">
        <v>0.752</v>
      </c>
      <c r="AA42" s="1">
        <v>0.75700000000000001</v>
      </c>
      <c r="AB42" s="1">
        <v>0.76</v>
      </c>
      <c r="AC42" s="1">
        <v>0.76300000000000001</v>
      </c>
      <c r="AD42" s="1">
        <v>0.76600000000000001</v>
      </c>
      <c r="AF42" s="1">
        <v>0.27</v>
      </c>
      <c r="AG42" s="1">
        <v>0.72499999999999998</v>
      </c>
      <c r="AH42" s="1">
        <v>0.72799999999999998</v>
      </c>
      <c r="AI42" s="1">
        <v>0.73099999999999998</v>
      </c>
      <c r="AJ42" s="1">
        <v>0.73499999999999999</v>
      </c>
      <c r="AK42" s="1">
        <v>0.73799999999999999</v>
      </c>
      <c r="AL42" s="1">
        <v>0.74199999999999999</v>
      </c>
      <c r="AM42" s="1">
        <v>0.745</v>
      </c>
      <c r="AN42" s="1">
        <v>0.748</v>
      </c>
    </row>
    <row r="43" spans="11:40" x14ac:dyDescent="0.3">
      <c r="K43" s="12">
        <f>IF($D$8=$P$3,V43,IF($D$8=$O$3,AF43,0))</f>
        <v>0.3</v>
      </c>
      <c r="L43" s="7">
        <f>IF($D$8=$P$3,W43,IF($D$8=$O$3,AG43,0))</f>
        <v>0.74399999999999999</v>
      </c>
      <c r="M43" s="1">
        <f>IF($D$8=$P$3,X43,IF($D$8=$O$3,AH43,0))</f>
        <v>0.747</v>
      </c>
      <c r="N43" s="1">
        <f>IF($D$8=$P$3,Y43,IF($D$8=$O$3,AI43,0))</f>
        <v>0.75</v>
      </c>
      <c r="O43" s="1">
        <f>IF($D$8=$P$3,Z43,IF($D$8=$O$3,AJ43,0))</f>
        <v>0.753</v>
      </c>
      <c r="P43" s="1">
        <f>IF($D$8=$P$3,AA43,IF($D$8=$O$3,AK43,0))</f>
        <v>0.75600000000000001</v>
      </c>
      <c r="Q43" s="1">
        <f>IF($D$8=$P$3,AB43,IF($D$8=$O$3,AL43,0))</f>
        <v>0.75900000000000001</v>
      </c>
      <c r="R43" s="1">
        <f>IF($D$8=$P$3,AC43,IF($D$8=$O$3,AM43,0))</f>
        <v>0.76200000000000001</v>
      </c>
      <c r="S43" s="8">
        <f>IF($D$8=$P$3,AD43,IF($D$8=$O$3,AN43,0))</f>
        <v>0.76500000000000001</v>
      </c>
      <c r="V43" s="1">
        <v>0.3</v>
      </c>
      <c r="W43" s="1">
        <v>0.751</v>
      </c>
      <c r="X43" s="1">
        <v>0.75800000000000001</v>
      </c>
      <c r="Y43" s="1">
        <v>0.76400000000000001</v>
      </c>
      <c r="Z43" s="1">
        <v>0.76900000000000002</v>
      </c>
      <c r="AA43" s="1">
        <v>0.77300000000000002</v>
      </c>
      <c r="AB43" s="1">
        <v>0.77700000000000002</v>
      </c>
      <c r="AC43" s="1">
        <v>0.78</v>
      </c>
      <c r="AD43" s="1">
        <v>0.78200000000000003</v>
      </c>
      <c r="AF43" s="1">
        <v>0.3</v>
      </c>
      <c r="AG43" s="1">
        <v>0.74399999999999999</v>
      </c>
      <c r="AH43" s="1">
        <v>0.747</v>
      </c>
      <c r="AI43" s="1">
        <v>0.75</v>
      </c>
      <c r="AJ43" s="1">
        <v>0.753</v>
      </c>
      <c r="AK43" s="1">
        <v>0.75600000000000001</v>
      </c>
      <c r="AL43" s="1">
        <v>0.75900000000000001</v>
      </c>
      <c r="AM43" s="1">
        <v>0.76200000000000001</v>
      </c>
      <c r="AN43" s="1">
        <v>0.76500000000000001</v>
      </c>
    </row>
    <row r="44" spans="11:40" x14ac:dyDescent="0.3">
      <c r="K44" s="12">
        <f>IF($D$8=$P$3,V44,IF($D$8=$O$3,AF44,0))</f>
        <v>0.33</v>
      </c>
      <c r="L44" s="7">
        <f>IF($D$8=$P$3,W44,IF($D$8=$O$3,AG44,0))</f>
        <v>0.76200000000000001</v>
      </c>
      <c r="M44" s="1">
        <f>IF($D$8=$P$3,X44,IF($D$8=$O$3,AH44,0))</f>
        <v>0.76400000000000001</v>
      </c>
      <c r="N44" s="1">
        <f>IF($D$8=$P$3,Y44,IF($D$8=$O$3,AI44,0))</f>
        <v>0.76700000000000002</v>
      </c>
      <c r="O44" s="1">
        <f>IF($D$8=$P$3,Z44,IF($D$8=$O$3,AJ44,0))</f>
        <v>0.77</v>
      </c>
      <c r="P44" s="1">
        <f>IF($D$8=$P$3,AA44,IF($D$8=$O$3,AK44,0))</f>
        <v>0.77300000000000002</v>
      </c>
      <c r="Q44" s="1">
        <f>IF($D$8=$P$3,AB44,IF($D$8=$O$3,AL44,0))</f>
        <v>0.77600000000000002</v>
      </c>
      <c r="R44" s="1">
        <f>IF($D$8=$P$3,AC44,IF($D$8=$O$3,AM44,0))</f>
        <v>0.77800000000000002</v>
      </c>
      <c r="S44" s="8">
        <f>IF($D$8=$P$3,AD44,IF($D$8=$O$3,AN44,0))</f>
        <v>0.78100000000000003</v>
      </c>
      <c r="V44" s="1">
        <v>0.33</v>
      </c>
      <c r="W44" s="1">
        <v>0.76800000000000002</v>
      </c>
      <c r="X44" s="1">
        <v>0.77400000000000002</v>
      </c>
      <c r="Y44" s="1">
        <v>0.78</v>
      </c>
      <c r="Z44" s="1">
        <v>0.78500000000000003</v>
      </c>
      <c r="AA44" s="1">
        <v>0.78900000000000003</v>
      </c>
      <c r="AB44" s="1">
        <v>0.79200000000000004</v>
      </c>
      <c r="AC44" s="1">
        <v>0.79500000000000004</v>
      </c>
      <c r="AD44" s="1">
        <v>0.79200000000000004</v>
      </c>
      <c r="AF44" s="1">
        <v>0.33</v>
      </c>
      <c r="AG44" s="1">
        <v>0.76200000000000001</v>
      </c>
      <c r="AH44" s="1">
        <v>0.76400000000000001</v>
      </c>
      <c r="AI44" s="1">
        <v>0.76700000000000002</v>
      </c>
      <c r="AJ44" s="1">
        <v>0.77</v>
      </c>
      <c r="AK44" s="1">
        <v>0.77300000000000002</v>
      </c>
      <c r="AL44" s="1">
        <v>0.77600000000000002</v>
      </c>
      <c r="AM44" s="1">
        <v>0.77800000000000002</v>
      </c>
      <c r="AN44" s="1">
        <v>0.78100000000000003</v>
      </c>
    </row>
    <row r="45" spans="11:40" x14ac:dyDescent="0.3">
      <c r="K45" s="12">
        <f>IF($D$8=$P$3,V45,IF($D$8=$O$3,AF45,0))</f>
        <v>0.4</v>
      </c>
      <c r="L45" s="7">
        <f>IF($D$8=$P$3,W45,IF($D$8=$O$3,AG45,0))</f>
        <v>0.79800000000000004</v>
      </c>
      <c r="M45" s="1">
        <f>IF($D$8=$P$3,X45,IF($D$8=$O$3,AH45,0))</f>
        <v>0.8</v>
      </c>
      <c r="N45" s="1">
        <f>IF($D$8=$P$3,Y45,IF($D$8=$O$3,AI45,0))</f>
        <v>0.80300000000000005</v>
      </c>
      <c r="O45" s="1">
        <f>IF($D$8=$P$3,Z45,IF($D$8=$O$3,AJ45,0))</f>
        <v>0.80500000000000005</v>
      </c>
      <c r="P45" s="1">
        <f>IF($D$8=$P$3,AA45,IF($D$8=$O$3,AK45,0))</f>
        <v>0.80800000000000005</v>
      </c>
      <c r="Q45" s="1">
        <f>IF($D$8=$P$3,AB45,IF($D$8=$O$3,AL45,0))</f>
        <v>0.81</v>
      </c>
      <c r="R45" s="1">
        <f>IF($D$8=$P$3,AC45,IF($D$8=$O$3,AM45,0))</f>
        <v>0.81200000000000006</v>
      </c>
      <c r="S45" s="8">
        <f>IF($D$8=$P$3,AD45,IF($D$8=$O$3,AN45,0))</f>
        <v>0.81499999999999995</v>
      </c>
      <c r="V45" s="1">
        <v>0.4</v>
      </c>
      <c r="W45" s="1">
        <v>0.80400000000000005</v>
      </c>
      <c r="X45" s="1">
        <v>0.80900000000000005</v>
      </c>
      <c r="Y45" s="1">
        <v>0.81399999999999995</v>
      </c>
      <c r="Z45" s="1">
        <v>0.81799999999999995</v>
      </c>
      <c r="AA45" s="1">
        <v>0.82199999999999995</v>
      </c>
      <c r="AB45" s="1">
        <v>0.82499999999999996</v>
      </c>
      <c r="AC45" s="1">
        <v>0.82699999999999996</v>
      </c>
      <c r="AD45" s="1">
        <v>0.82899999999999996</v>
      </c>
      <c r="AF45" s="1">
        <v>0.4</v>
      </c>
      <c r="AG45" s="1">
        <v>0.79800000000000004</v>
      </c>
      <c r="AH45" s="1">
        <v>0.8</v>
      </c>
      <c r="AI45" s="1">
        <v>0.80300000000000005</v>
      </c>
      <c r="AJ45" s="1">
        <v>0.80500000000000005</v>
      </c>
      <c r="AK45" s="1">
        <v>0.80800000000000005</v>
      </c>
      <c r="AL45" s="1">
        <v>0.81</v>
      </c>
      <c r="AM45" s="1">
        <v>0.81200000000000006</v>
      </c>
      <c r="AN45" s="1">
        <v>0.81499999999999995</v>
      </c>
    </row>
    <row r="46" spans="11:40" x14ac:dyDescent="0.3">
      <c r="K46" s="12">
        <f>IF($D$8=$P$3,V46,IF($D$8=$O$3,AF46,0))</f>
        <v>0.5</v>
      </c>
      <c r="L46" s="7">
        <f>IF($D$8=$P$3,W46,IF($D$8=$O$3,AG46,0))</f>
        <v>0.84299999999999997</v>
      </c>
      <c r="M46" s="1">
        <f>IF($D$8=$P$3,X46,IF($D$8=$O$3,AH46,0))</f>
        <v>0.84499999999999997</v>
      </c>
      <c r="N46" s="1">
        <f>IF($D$8=$P$3,Y46,IF($D$8=$O$3,AI46,0))</f>
        <v>0.84599999999999997</v>
      </c>
      <c r="O46" s="1">
        <f>IF($D$8=$P$3,Z46,IF($D$8=$O$3,AJ46,0))</f>
        <v>0.84799999999999998</v>
      </c>
      <c r="P46" s="1">
        <f>IF($D$8=$P$3,AA46,IF($D$8=$O$3,AK46,0))</f>
        <v>0.85</v>
      </c>
      <c r="Q46" s="1">
        <f>IF($D$8=$P$3,AB46,IF($D$8=$O$3,AL46,0))</f>
        <v>0.85199999999999998</v>
      </c>
      <c r="R46" s="1">
        <f>IF($D$8=$P$3,AC46,IF($D$8=$O$3,AM46,0))</f>
        <v>0.85399999999999998</v>
      </c>
      <c r="S46" s="8">
        <f>IF($D$8=$P$3,AD46,IF($D$8=$O$3,AN46,0))</f>
        <v>0.85599999999999998</v>
      </c>
      <c r="V46" s="1">
        <v>0.5</v>
      </c>
      <c r="W46" s="1">
        <v>0.84799999999999998</v>
      </c>
      <c r="X46" s="1">
        <v>0.85099999999999998</v>
      </c>
      <c r="Y46" s="1">
        <v>0.85499999999999998</v>
      </c>
      <c r="Z46" s="1">
        <v>0.85799999999999998</v>
      </c>
      <c r="AA46" s="1">
        <v>0.86099999999999999</v>
      </c>
      <c r="AB46" s="1">
        <v>0.86399999999999999</v>
      </c>
      <c r="AC46" s="1">
        <v>0.86599999999999999</v>
      </c>
      <c r="AD46" s="1">
        <v>0.86699999999999999</v>
      </c>
      <c r="AF46" s="1">
        <v>0.5</v>
      </c>
      <c r="AG46" s="1">
        <v>0.84299999999999997</v>
      </c>
      <c r="AH46" s="1">
        <v>0.84499999999999997</v>
      </c>
      <c r="AI46" s="1">
        <v>0.84599999999999997</v>
      </c>
      <c r="AJ46" s="1">
        <v>0.84799999999999998</v>
      </c>
      <c r="AK46" s="1">
        <v>0.85</v>
      </c>
      <c r="AL46" s="1">
        <v>0.85199999999999998</v>
      </c>
      <c r="AM46" s="1">
        <v>0.85399999999999998</v>
      </c>
      <c r="AN46" s="1">
        <v>0.85599999999999998</v>
      </c>
    </row>
    <row r="47" spans="11:40" x14ac:dyDescent="0.3">
      <c r="K47" s="12">
        <f>IF($D$8=$P$3,V47,IF($D$8=$O$3,AF47,0))</f>
        <v>0.6</v>
      </c>
      <c r="L47" s="7">
        <f>IF($D$8=$P$3,W47,IF($D$8=$O$3,AG47,0))</f>
        <v>0.88200000000000001</v>
      </c>
      <c r="M47" s="1">
        <f>IF($D$8=$P$3,X47,IF($D$8=$O$3,AH47,0))</f>
        <v>0.88300000000000001</v>
      </c>
      <c r="N47" s="1">
        <f>IF($D$8=$P$3,Y47,IF($D$8=$O$3,AI47,0))</f>
        <v>0.88400000000000001</v>
      </c>
      <c r="O47" s="1">
        <f>IF($D$8=$P$3,Z47,IF($D$8=$O$3,AJ47,0))</f>
        <v>0.88600000000000001</v>
      </c>
      <c r="P47" s="1">
        <f>IF($D$8=$P$3,AA47,IF($D$8=$O$3,AK47,0))</f>
        <v>0.88700000000000001</v>
      </c>
      <c r="Q47" s="1">
        <f>IF($D$8=$P$3,AB47,IF($D$8=$O$3,AL47,0))</f>
        <v>0.88800000000000001</v>
      </c>
      <c r="R47" s="1">
        <f>IF($D$8=$P$3,AC47,IF($D$8=$O$3,AM47,0))</f>
        <v>0.89</v>
      </c>
      <c r="S47" s="8">
        <f>IF($D$8=$P$3,AD47,IF($D$8=$O$3,AN47,0))</f>
        <v>0.89100000000000001</v>
      </c>
      <c r="V47" s="1">
        <v>0.6</v>
      </c>
      <c r="W47" s="1">
        <v>0.88500000000000001</v>
      </c>
      <c r="X47" s="1">
        <v>0.88800000000000001</v>
      </c>
      <c r="Y47" s="1">
        <v>0.89100000000000001</v>
      </c>
      <c r="Z47" s="1">
        <v>0.89300000000000002</v>
      </c>
      <c r="AA47" s="1">
        <v>0.89600000000000002</v>
      </c>
      <c r="AB47" s="1">
        <v>0.89700000000000002</v>
      </c>
      <c r="AC47" s="1">
        <v>0.89900000000000002</v>
      </c>
      <c r="AD47" s="1">
        <v>0.9</v>
      </c>
      <c r="AF47" s="1">
        <v>0.6</v>
      </c>
      <c r="AG47" s="1">
        <v>0.88200000000000001</v>
      </c>
      <c r="AH47" s="1">
        <v>0.88300000000000001</v>
      </c>
      <c r="AI47" s="1">
        <v>0.88400000000000001</v>
      </c>
      <c r="AJ47" s="1">
        <v>0.88600000000000001</v>
      </c>
      <c r="AK47" s="1">
        <v>0.88700000000000001</v>
      </c>
      <c r="AL47" s="1">
        <v>0.88800000000000001</v>
      </c>
      <c r="AM47" s="1">
        <v>0.89</v>
      </c>
      <c r="AN47" s="1">
        <v>0.89100000000000001</v>
      </c>
    </row>
    <row r="48" spans="11:40" x14ac:dyDescent="0.3">
      <c r="K48" s="12">
        <f>IF($D$8=$P$3,V48,IF($D$8=$O$3,AF48,0))</f>
        <v>0.67</v>
      </c>
      <c r="L48" s="7">
        <f>IF($D$8=$P$3,W48,IF($D$8=$O$3,AG48,0))</f>
        <v>0.90600000000000003</v>
      </c>
      <c r="M48" s="1">
        <f>IF($D$8=$P$3,X48,IF($D$8=$O$3,AH48,0))</f>
        <v>0.90700000000000003</v>
      </c>
      <c r="N48" s="1">
        <f>IF($D$8=$P$3,Y48,IF($D$8=$O$3,AI48,0))</f>
        <v>0.90800000000000003</v>
      </c>
      <c r="O48" s="1">
        <f>IF($D$8=$P$3,Z48,IF($D$8=$O$3,AJ48,0))</f>
        <v>0.90900000000000003</v>
      </c>
      <c r="P48" s="1">
        <f>IF($D$8=$P$3,AA48,IF($D$8=$O$3,AK48,0))</f>
        <v>0.91</v>
      </c>
      <c r="Q48" s="1">
        <f>IF($D$8=$P$3,AB48,IF($D$8=$O$3,AL48,0))</f>
        <v>0.91100000000000003</v>
      </c>
      <c r="R48" s="1">
        <f>IF($D$8=$P$3,AC48,IF($D$8=$O$3,AM48,0))</f>
        <v>0.91200000000000003</v>
      </c>
      <c r="S48" s="8">
        <f>IF($D$8=$P$3,AD48,IF($D$8=$O$3,AN48,0))</f>
        <v>0.91300000000000003</v>
      </c>
      <c r="V48" s="1">
        <v>0.67</v>
      </c>
      <c r="W48" s="1">
        <v>0.90900000000000003</v>
      </c>
      <c r="X48" s="1">
        <v>0.91100000000000003</v>
      </c>
      <c r="Y48" s="1">
        <v>0.91300000000000003</v>
      </c>
      <c r="Z48" s="1">
        <v>0.91500000000000004</v>
      </c>
      <c r="AA48" s="1">
        <v>0.91700000000000004</v>
      </c>
      <c r="AB48" s="1">
        <v>0.91900000000000004</v>
      </c>
      <c r="AC48" s="1">
        <v>0.92</v>
      </c>
      <c r="AD48" s="1">
        <v>0.92100000000000004</v>
      </c>
      <c r="AF48" s="1">
        <v>0.67</v>
      </c>
      <c r="AG48" s="1">
        <v>0.90600000000000003</v>
      </c>
      <c r="AH48" s="1">
        <v>0.90700000000000003</v>
      </c>
      <c r="AI48" s="1">
        <v>0.90800000000000003</v>
      </c>
      <c r="AJ48" s="1">
        <v>0.90900000000000003</v>
      </c>
      <c r="AK48" s="1">
        <v>0.91</v>
      </c>
      <c r="AL48" s="1">
        <v>0.91100000000000003</v>
      </c>
      <c r="AM48" s="1">
        <v>0.91200000000000003</v>
      </c>
      <c r="AN48" s="1">
        <v>0.91300000000000003</v>
      </c>
    </row>
    <row r="49" spans="10:40" x14ac:dyDescent="0.3">
      <c r="K49" s="12">
        <f>IF($D$8=$P$3,V49,IF($D$8=$O$3,AF49,0))</f>
        <v>0.7</v>
      </c>
      <c r="L49" s="7">
        <f>IF($D$8=$P$3,W49,IF($D$8=$O$3,AG49,0))</f>
        <v>0.91600000000000004</v>
      </c>
      <c r="M49" s="1">
        <f>IF($D$8=$P$3,X49,IF($D$8=$O$3,AH49,0))</f>
        <v>0.91700000000000004</v>
      </c>
      <c r="N49" s="1">
        <f>IF($D$8=$P$3,Y49,IF($D$8=$O$3,AI49,0))</f>
        <v>0.91700000000000004</v>
      </c>
      <c r="O49" s="1">
        <f>IF($D$8=$P$3,Z49,IF($D$8=$O$3,AJ49,0))</f>
        <v>0.91900000000000004</v>
      </c>
      <c r="P49" s="1">
        <f>IF($D$8=$P$3,AA49,IF($D$8=$O$3,AK49,0))</f>
        <v>0.92</v>
      </c>
      <c r="Q49" s="1">
        <f>IF($D$8=$P$3,AB49,IF($D$8=$O$3,AL49,0))</f>
        <v>0.92</v>
      </c>
      <c r="R49" s="1">
        <f>IF($D$8=$P$3,AC49,IF($D$8=$O$3,AM49,0))</f>
        <v>0.92100000000000004</v>
      </c>
      <c r="S49" s="8">
        <f>IF($D$8=$P$3,AD49,IF($D$8=$O$3,AN49,0))</f>
        <v>0.92200000000000004</v>
      </c>
      <c r="V49" s="1">
        <v>0.7</v>
      </c>
      <c r="W49" s="1">
        <v>0.91800000000000004</v>
      </c>
      <c r="X49" s="1">
        <v>0.92</v>
      </c>
      <c r="Y49" s="1">
        <v>0.92200000000000004</v>
      </c>
      <c r="Z49" s="1">
        <v>0.92400000000000004</v>
      </c>
      <c r="AA49" s="1">
        <v>0.92600000000000005</v>
      </c>
      <c r="AB49" s="1">
        <v>0.92700000000000005</v>
      </c>
      <c r="AC49" s="1">
        <v>0.92800000000000005</v>
      </c>
      <c r="AD49" s="1">
        <v>0.92900000000000005</v>
      </c>
      <c r="AF49" s="1">
        <v>0.7</v>
      </c>
      <c r="AG49" s="1">
        <v>0.91600000000000004</v>
      </c>
      <c r="AH49" s="1">
        <v>0.91700000000000004</v>
      </c>
      <c r="AI49" s="1">
        <v>0.91700000000000004</v>
      </c>
      <c r="AJ49" s="1">
        <v>0.91900000000000004</v>
      </c>
      <c r="AK49" s="1">
        <v>0.92</v>
      </c>
      <c r="AL49" s="1">
        <v>0.92</v>
      </c>
      <c r="AM49" s="1">
        <v>0.92100000000000004</v>
      </c>
      <c r="AN49" s="1">
        <v>0.92200000000000004</v>
      </c>
    </row>
    <row r="50" spans="10:40" x14ac:dyDescent="0.3">
      <c r="K50" s="12">
        <f>IF($D$8=$P$3,V50,IF($D$8=$O$3,AF50,0))</f>
        <v>0.8</v>
      </c>
      <c r="L50" s="7">
        <f>IF($D$8=$P$3,W50,IF($D$8=$O$3,AG50,0))</f>
        <v>0.94599999999999995</v>
      </c>
      <c r="M50" s="1">
        <f>IF($D$8=$P$3,X50,IF($D$8=$O$3,AH50,0))</f>
        <v>0.94699999999999995</v>
      </c>
      <c r="N50" s="1">
        <f>IF($D$8=$P$3,Y50,IF($D$8=$O$3,AI50,0))</f>
        <v>0.94699999999999995</v>
      </c>
      <c r="O50" s="1">
        <f>IF($D$8=$P$3,Z50,IF($D$8=$O$3,AJ50,0))</f>
        <v>0.94799999999999995</v>
      </c>
      <c r="P50" s="1">
        <f>IF($D$8=$P$3,AA50,IF($D$8=$O$3,AK50,0))</f>
        <v>0.94899999999999995</v>
      </c>
      <c r="Q50" s="1">
        <f>IF($D$8=$P$3,AB50,IF($D$8=$O$3,AL50,0))</f>
        <v>0.94899999999999995</v>
      </c>
      <c r="R50" s="1">
        <f>IF($D$8=$P$3,AC50,IF($D$8=$O$3,AM50,0))</f>
        <v>0.95</v>
      </c>
      <c r="S50" s="8">
        <f>IF($D$8=$P$3,AD50,IF($D$8=$O$3,AN50,0))</f>
        <v>0.95</v>
      </c>
      <c r="V50" s="1">
        <v>0.8</v>
      </c>
      <c r="W50" s="1">
        <v>0.94799999999999995</v>
      </c>
      <c r="X50" s="1">
        <v>0.94899999999999995</v>
      </c>
      <c r="Y50" s="1">
        <v>0.95</v>
      </c>
      <c r="Z50" s="1">
        <v>0.95199999999999996</v>
      </c>
      <c r="AA50" s="1">
        <v>0.95299999999999996</v>
      </c>
      <c r="AB50" s="1">
        <v>0.95399999999999996</v>
      </c>
      <c r="AC50" s="1">
        <v>0.95499999999999996</v>
      </c>
      <c r="AD50" s="1">
        <v>0.95499999999999996</v>
      </c>
      <c r="AF50" s="1">
        <v>0.8</v>
      </c>
      <c r="AG50" s="1">
        <v>0.94599999999999995</v>
      </c>
      <c r="AH50" s="1">
        <v>0.94699999999999995</v>
      </c>
      <c r="AI50" s="1">
        <v>0.94699999999999995</v>
      </c>
      <c r="AJ50" s="1">
        <v>0.94799999999999995</v>
      </c>
      <c r="AK50" s="1">
        <v>0.94899999999999995</v>
      </c>
      <c r="AL50" s="1">
        <v>0.94899999999999995</v>
      </c>
      <c r="AM50" s="1">
        <v>0.95</v>
      </c>
      <c r="AN50" s="1">
        <v>0.95</v>
      </c>
    </row>
    <row r="51" spans="10:40" ht="15" thickBot="1" x14ac:dyDescent="0.35">
      <c r="K51" s="13">
        <f>IF($D$8=$P$3,V51,IF($D$8=$O$3,AF51,0))</f>
        <v>1</v>
      </c>
      <c r="L51" s="9">
        <f>IF($D$8=$P$3,W51,IF($D$8=$O$3,AG51,0))</f>
        <v>1</v>
      </c>
      <c r="M51" s="10">
        <f>IF($D$8=$P$3,X51,IF($D$8=$O$3,AH51,0))</f>
        <v>1</v>
      </c>
      <c r="N51" s="10">
        <f>IF($D$8=$P$3,Y51,IF($D$8=$O$3,AI51,0))</f>
        <v>1</v>
      </c>
      <c r="O51" s="10">
        <f>IF($D$8=$P$3,Z51,IF($D$8=$O$3,AJ51,0))</f>
        <v>1</v>
      </c>
      <c r="P51" s="10">
        <f>IF($D$8=$P$3,AA51,IF($D$8=$O$3,AK51,0))</f>
        <v>1</v>
      </c>
      <c r="Q51" s="10">
        <f>IF($D$8=$P$3,AB51,IF($D$8=$O$3,AL51,0))</f>
        <v>1</v>
      </c>
      <c r="R51" s="10">
        <f>IF($D$8=$P$3,AC51,IF($D$8=$O$3,AM51,0))</f>
        <v>1</v>
      </c>
      <c r="S51" s="11">
        <f>IF($D$8=$P$3,AD51,IF($D$8=$O$3,AN51,0))</f>
        <v>1</v>
      </c>
      <c r="V51" s="1">
        <v>1</v>
      </c>
      <c r="W51" s="1">
        <v>1</v>
      </c>
      <c r="X51" s="1">
        <v>1</v>
      </c>
      <c r="Y51" s="1">
        <v>1</v>
      </c>
      <c r="Z51" s="1">
        <v>1</v>
      </c>
      <c r="AA51" s="1">
        <v>1</v>
      </c>
      <c r="AB51" s="1">
        <v>1</v>
      </c>
      <c r="AC51" s="1">
        <v>1</v>
      </c>
      <c r="AD51" s="1">
        <v>1</v>
      </c>
      <c r="AF51" s="1">
        <v>1</v>
      </c>
      <c r="AG51" s="1">
        <v>1</v>
      </c>
      <c r="AH51" s="1">
        <v>1</v>
      </c>
      <c r="AI51" s="1">
        <v>1</v>
      </c>
      <c r="AJ51" s="1">
        <v>1</v>
      </c>
      <c r="AK51" s="1">
        <v>1</v>
      </c>
      <c r="AL51" s="1">
        <v>1</v>
      </c>
      <c r="AM51" s="1">
        <v>1</v>
      </c>
      <c r="AN51" s="1">
        <v>1</v>
      </c>
    </row>
    <row r="52" spans="10:40" ht="15" thickBot="1" x14ac:dyDescent="0.35">
      <c r="J52" s="22" t="s">
        <v>43</v>
      </c>
      <c r="K52" s="24">
        <f>D15</f>
        <v>0.4</v>
      </c>
      <c r="L52" s="26">
        <f>lininterpolate($K$52,$K$39:$K$51,L$39:L$51)</f>
        <v>0.79800000000000004</v>
      </c>
      <c r="M52" s="26">
        <f t="shared" ref="M52:S52" si="1">lininterpolate($K$52,$K$39:$K$51,M$39:M$51)</f>
        <v>0.8</v>
      </c>
      <c r="N52" s="26">
        <f t="shared" si="1"/>
        <v>0.80300000000000005</v>
      </c>
      <c r="O52" s="26">
        <f t="shared" si="1"/>
        <v>0.80500000000000005</v>
      </c>
      <c r="P52" s="26">
        <f t="shared" si="1"/>
        <v>0.80800000000000005</v>
      </c>
      <c r="Q52" s="26">
        <f t="shared" si="1"/>
        <v>0.81</v>
      </c>
      <c r="R52" s="26">
        <f t="shared" si="1"/>
        <v>0.81200000000000006</v>
      </c>
      <c r="S52" s="26">
        <f t="shared" si="1"/>
        <v>0.81499999999999995</v>
      </c>
    </row>
    <row r="56" spans="10:40" ht="15" thickBot="1" x14ac:dyDescent="0.35"/>
    <row r="57" spans="10:40" ht="28.8" customHeight="1" x14ac:dyDescent="0.3">
      <c r="K57" s="61" t="s">
        <v>32</v>
      </c>
      <c r="L57" s="58" t="s">
        <v>35</v>
      </c>
      <c r="M57" s="59"/>
      <c r="N57" s="59"/>
      <c r="O57" s="59"/>
      <c r="P57" s="59"/>
      <c r="Q57" s="59"/>
      <c r="R57" s="59"/>
      <c r="S57" s="60"/>
      <c r="V57" s="55" t="s">
        <v>32</v>
      </c>
      <c r="W57" s="57" t="s">
        <v>35</v>
      </c>
      <c r="X57" s="57"/>
      <c r="Y57" s="57"/>
      <c r="Z57" s="57"/>
      <c r="AA57" s="57"/>
      <c r="AB57" s="57"/>
      <c r="AC57" s="57"/>
      <c r="AD57" s="57"/>
      <c r="AF57" s="55" t="s">
        <v>32</v>
      </c>
      <c r="AG57" s="57" t="s">
        <v>36</v>
      </c>
      <c r="AH57" s="57"/>
      <c r="AI57" s="57"/>
      <c r="AJ57" s="57"/>
      <c r="AK57" s="57"/>
      <c r="AL57" s="57"/>
      <c r="AM57" s="57"/>
      <c r="AN57" s="57"/>
    </row>
    <row r="58" spans="10:40" ht="14.4" customHeight="1" thickBot="1" x14ac:dyDescent="0.35">
      <c r="K58" s="62"/>
      <c r="L58" s="15">
        <f>IF($D$8=$P$3,W58,IF($D$8=$O$3,AG58,0))</f>
        <v>0.5</v>
      </c>
      <c r="M58" s="2">
        <f>IF($D$8=$P$3,X58,IF($D$8=$O$3,AH58,0))</f>
        <v>0.6</v>
      </c>
      <c r="N58" s="2">
        <f>IF($D$8=$P$3,Y58,IF($D$8=$O$3,AI58,0))</f>
        <v>0.7</v>
      </c>
      <c r="O58" s="2">
        <f>IF($D$8=$P$3,Z58,IF($D$8=$O$3,AJ58,0))</f>
        <v>0.8</v>
      </c>
      <c r="P58" s="2">
        <f>IF($D$8=$P$3,AA58,IF($D$8=$O$3,AK58,0))</f>
        <v>0.9</v>
      </c>
      <c r="Q58" s="2">
        <f>IF($D$8=$P$3,AB58,IF($D$8=$O$3,AL58,0))</f>
        <v>1</v>
      </c>
      <c r="R58" s="2">
        <f>IF($D$8=$P$3,AC58,IF($D$8=$O$3,AM58,0))</f>
        <v>1.1000000000000001</v>
      </c>
      <c r="S58" s="14">
        <f>IF($D$8=$P$3,AD58,IF($D$8=$O$3,AN58,0))</f>
        <v>1.2</v>
      </c>
      <c r="V58" s="56"/>
      <c r="W58" s="1">
        <v>0.5</v>
      </c>
      <c r="X58" s="1">
        <v>0.6</v>
      </c>
      <c r="Y58" s="1">
        <v>0.7</v>
      </c>
      <c r="Z58" s="1">
        <v>0.8</v>
      </c>
      <c r="AA58" s="1">
        <v>0.9</v>
      </c>
      <c r="AB58" s="1">
        <v>1</v>
      </c>
      <c r="AC58" s="1">
        <v>1.1000000000000001</v>
      </c>
      <c r="AD58" s="1">
        <v>1.2</v>
      </c>
      <c r="AF58" s="56"/>
      <c r="AG58" s="1">
        <v>0.5</v>
      </c>
      <c r="AH58" s="1">
        <v>0.6</v>
      </c>
      <c r="AI58" s="1">
        <v>0.7</v>
      </c>
      <c r="AJ58" s="1">
        <v>0.8</v>
      </c>
      <c r="AK58" s="1">
        <v>0.9</v>
      </c>
      <c r="AL58" s="1">
        <v>1</v>
      </c>
      <c r="AM58" s="1">
        <v>1.1000000000000001</v>
      </c>
      <c r="AN58" s="1">
        <v>1.2</v>
      </c>
    </row>
    <row r="59" spans="10:40" x14ac:dyDescent="0.3">
      <c r="K59" s="16">
        <f>IF($D$8=$P$3,V59,IF($D$8=$O$3,AF59,0))</f>
        <v>0.1</v>
      </c>
      <c r="L59" s="4">
        <f>IF($D$8=$P$3,W59,IF($D$8=$O$3,AG59,0))</f>
        <v>0.497</v>
      </c>
      <c r="M59" s="5">
        <f>IF($D$8=$P$3,X59,IF($D$8=$O$3,AH59,0))</f>
        <v>0.51100000000000001</v>
      </c>
      <c r="N59" s="5">
        <f>IF($D$8=$P$3,Y59,IF($D$8=$O$3,AI59,0))</f>
        <v>0.52600000000000002</v>
      </c>
      <c r="O59" s="5">
        <f>IF($D$8=$P$3,Z59,IF($D$8=$O$3,AJ59,0))</f>
        <v>0.54</v>
      </c>
      <c r="P59" s="5">
        <f>IF($D$8=$P$3,AA59,IF($D$8=$O$3,AK59,0))</f>
        <v>0.55200000000000005</v>
      </c>
      <c r="Q59" s="5">
        <f>IF($D$8=$P$3,AB59,IF($D$8=$O$3,AL59,0))</f>
        <v>0.56299999999999994</v>
      </c>
      <c r="R59" s="5">
        <f>IF($D$8=$P$3,AC59,IF($D$8=$O$3,AM59,0))</f>
        <v>0.57299999999999995</v>
      </c>
      <c r="S59" s="6">
        <f>IF($D$8=$P$3,AD59,IF($D$8=$O$3,AN59,0))</f>
        <v>0.58199999999999996</v>
      </c>
      <c r="V59" s="1">
        <v>0.1</v>
      </c>
      <c r="W59" s="1">
        <v>0.53500000000000003</v>
      </c>
      <c r="X59" s="1">
        <v>0.55800000000000005</v>
      </c>
      <c r="Y59" s="1">
        <v>0.57699999999999996</v>
      </c>
      <c r="Z59" s="1">
        <v>0.59299999999999997</v>
      </c>
      <c r="AA59" s="1">
        <v>0.60499999999999998</v>
      </c>
      <c r="AB59" s="1">
        <v>0.61299999999999999</v>
      </c>
      <c r="AC59" s="1">
        <v>0.61899999999999999</v>
      </c>
      <c r="AD59" s="1">
        <v>0.623</v>
      </c>
      <c r="AF59" s="1">
        <v>0.1</v>
      </c>
      <c r="AG59" s="1">
        <v>0.497</v>
      </c>
      <c r="AH59" s="1">
        <v>0.51100000000000001</v>
      </c>
      <c r="AI59" s="1">
        <v>0.52600000000000002</v>
      </c>
      <c r="AJ59" s="1">
        <v>0.54</v>
      </c>
      <c r="AK59" s="1">
        <v>0.55200000000000005</v>
      </c>
      <c r="AL59" s="1">
        <v>0.56299999999999994</v>
      </c>
      <c r="AM59" s="1">
        <v>0.57299999999999995</v>
      </c>
      <c r="AN59" s="1">
        <v>0.58199999999999996</v>
      </c>
    </row>
    <row r="60" spans="10:40" x14ac:dyDescent="0.3">
      <c r="K60" s="12">
        <f>IF($D$8=$P$3,V60,IF($D$8=$O$3,AF60,0))</f>
        <v>0.2</v>
      </c>
      <c r="L60" s="7">
        <f>IF($D$8=$P$3,W60,IF($D$8=$O$3,AG60,0))</f>
        <v>0.60899999999999999</v>
      </c>
      <c r="M60" s="1">
        <f>IF($D$8=$P$3,X60,IF($D$8=$O$3,AH60,0))</f>
        <v>0.62</v>
      </c>
      <c r="N60" s="1">
        <f>IF($D$8=$P$3,Y60,IF($D$8=$O$3,AI60,0))</f>
        <v>0.63200000000000001</v>
      </c>
      <c r="O60" s="1">
        <f>IF($D$8=$P$3,Z60,IF($D$8=$O$3,AJ60,0))</f>
        <v>0.64200000000000002</v>
      </c>
      <c r="P60" s="1">
        <f>IF($D$8=$P$3,AA60,IF($D$8=$O$3,AK60,0))</f>
        <v>0.65200000000000002</v>
      </c>
      <c r="Q60" s="1">
        <f>IF($D$8=$P$3,AB60,IF($D$8=$O$3,AL60,0))</f>
        <v>0.66100000000000003</v>
      </c>
      <c r="R60" s="1">
        <f>IF($D$8=$P$3,AC60,IF($D$8=$O$3,AM60,0))</f>
        <v>0.67</v>
      </c>
      <c r="S60" s="8">
        <f>IF($D$8=$P$3,AD60,IF($D$8=$O$3,AN60,0))</f>
        <v>0.67700000000000005</v>
      </c>
      <c r="V60" s="1">
        <v>0.2</v>
      </c>
      <c r="W60" s="1">
        <v>0.64</v>
      </c>
      <c r="X60" s="1">
        <v>0.65900000000000003</v>
      </c>
      <c r="Y60" s="1">
        <v>0.67600000000000005</v>
      </c>
      <c r="Z60" s="1">
        <v>0.68899999999999995</v>
      </c>
      <c r="AA60" s="1">
        <v>0.69899999999999995</v>
      </c>
      <c r="AB60" s="1">
        <v>0.70699999999999996</v>
      </c>
      <c r="AC60" s="1">
        <v>0.71299999999999997</v>
      </c>
      <c r="AD60" s="1">
        <v>0.71699999999999997</v>
      </c>
      <c r="AF60" s="1">
        <v>0.2</v>
      </c>
      <c r="AG60" s="1">
        <v>0.60899999999999999</v>
      </c>
      <c r="AH60" s="1">
        <v>0.62</v>
      </c>
      <c r="AI60" s="1">
        <v>0.63200000000000001</v>
      </c>
      <c r="AJ60" s="1">
        <v>0.64200000000000002</v>
      </c>
      <c r="AK60" s="1">
        <v>0.65200000000000002</v>
      </c>
      <c r="AL60" s="1">
        <v>0.66100000000000003</v>
      </c>
      <c r="AM60" s="1">
        <v>0.67</v>
      </c>
      <c r="AN60" s="1">
        <v>0.67700000000000005</v>
      </c>
    </row>
    <row r="61" spans="10:40" x14ac:dyDescent="0.3">
      <c r="K61" s="12">
        <f>IF($D$8=$P$3,V61,IF($D$8=$O$3,AF61,0))</f>
        <v>0.22</v>
      </c>
      <c r="L61" s="7">
        <f>IF($D$8=$P$3,W61,IF($D$8=$O$3,AG61,0))</f>
        <v>0.627</v>
      </c>
      <c r="M61" s="1">
        <f>IF($D$8=$P$3,X61,IF($D$8=$O$3,AH61,0))</f>
        <v>0.63800000000000001</v>
      </c>
      <c r="N61" s="1">
        <f>IF($D$8=$P$3,Y61,IF($D$8=$O$3,AI61,0))</f>
        <v>0.64800000000000002</v>
      </c>
      <c r="O61" s="1">
        <f>IF($D$8=$P$3,Z61,IF($D$8=$O$3,AJ61,0))</f>
        <v>0.65900000000000003</v>
      </c>
      <c r="P61" s="1">
        <f>IF($D$8=$P$3,AA61,IF($D$8=$O$3,AK61,0))</f>
        <v>0.66800000000000004</v>
      </c>
      <c r="Q61" s="1">
        <f>IF($D$8=$P$3,AB61,IF($D$8=$O$3,AL61,0))</f>
        <v>0.67700000000000005</v>
      </c>
      <c r="R61" s="1">
        <f>IF($D$8=$P$3,AC61,IF($D$8=$O$3,AM61,0))</f>
        <v>0.68500000000000005</v>
      </c>
      <c r="S61" s="8">
        <f>IF($D$8=$P$3,AD61,IF($D$8=$O$3,AN61,0))</f>
        <v>0.69199999999999995</v>
      </c>
      <c r="V61" s="1">
        <v>0.22</v>
      </c>
      <c r="W61" s="1">
        <v>0.65700000000000003</v>
      </c>
      <c r="X61" s="1">
        <v>0.67500000000000004</v>
      </c>
      <c r="Y61" s="1">
        <v>0.69099999999999995</v>
      </c>
      <c r="Z61" s="1">
        <v>0.70299999999999996</v>
      </c>
      <c r="AA61" s="1">
        <v>0.71299999999999997</v>
      </c>
      <c r="AB61" s="1">
        <v>0.72099999999999997</v>
      </c>
      <c r="AC61" s="1">
        <v>0.72699999999999998</v>
      </c>
      <c r="AD61" s="1">
        <v>0.73099999999999998</v>
      </c>
      <c r="AF61" s="1">
        <v>0.22</v>
      </c>
      <c r="AG61" s="1">
        <v>0.627</v>
      </c>
      <c r="AH61" s="1">
        <v>0.63800000000000001</v>
      </c>
      <c r="AI61" s="1">
        <v>0.64800000000000002</v>
      </c>
      <c r="AJ61" s="1">
        <v>0.65900000000000003</v>
      </c>
      <c r="AK61" s="1">
        <v>0.66800000000000004</v>
      </c>
      <c r="AL61" s="1">
        <v>0.67700000000000005</v>
      </c>
      <c r="AM61" s="1">
        <v>0.68500000000000005</v>
      </c>
      <c r="AN61" s="1">
        <v>0.69199999999999995</v>
      </c>
    </row>
    <row r="62" spans="10:40" x14ac:dyDescent="0.3">
      <c r="K62" s="12">
        <f>IF($D$8=$P$3,V62,IF($D$8=$O$3,AF62,0))</f>
        <v>0.27</v>
      </c>
      <c r="L62" s="7">
        <f>IF($D$8=$P$3,W62,IF($D$8=$O$3,AG62,0))</f>
        <v>0.66100000000000003</v>
      </c>
      <c r="M62" s="1">
        <f>IF($D$8=$P$3,X62,IF($D$8=$O$3,AH62,0))</f>
        <v>0.67600000000000005</v>
      </c>
      <c r="N62" s="1">
        <f>IF($D$8=$P$3,Y62,IF($D$8=$O$3,AI62,0))</f>
        <v>0.68600000000000005</v>
      </c>
      <c r="O62" s="1">
        <f>IF($D$8=$P$3,Z62,IF($D$8=$O$3,AJ62,0))</f>
        <v>0.69499999999999995</v>
      </c>
      <c r="P62" s="1">
        <f>IF($D$8=$P$3,AA62,IF($D$8=$O$3,AK62,0))</f>
        <v>0.70299999999999996</v>
      </c>
      <c r="Q62" s="1">
        <f>IF($D$8=$P$3,AB62,IF($D$8=$O$3,AL62,0))</f>
        <v>0.71099999999999997</v>
      </c>
      <c r="R62" s="1">
        <f>IF($D$8=$P$3,AC62,IF($D$8=$O$3,AM62,0))</f>
        <v>0.71899999999999997</v>
      </c>
      <c r="S62" s="8">
        <f>IF($D$8=$P$3,AD62,IF($D$8=$O$3,AN62,0))</f>
        <v>0.72499999999999998</v>
      </c>
      <c r="V62" s="1">
        <v>0.27</v>
      </c>
      <c r="W62" s="1">
        <v>0.69399999999999995</v>
      </c>
      <c r="X62" s="1">
        <v>0.71</v>
      </c>
      <c r="Y62" s="1">
        <v>0.72499999999999998</v>
      </c>
      <c r="Z62" s="1">
        <v>0.73599999999999999</v>
      </c>
      <c r="AA62" s="1">
        <v>0.745</v>
      </c>
      <c r="AB62" s="1">
        <v>0.752</v>
      </c>
      <c r="AC62" s="1">
        <v>0.75800000000000001</v>
      </c>
      <c r="AD62" s="1">
        <v>0.76200000000000001</v>
      </c>
      <c r="AF62" s="1">
        <v>0.27</v>
      </c>
      <c r="AG62" s="1">
        <v>0.66100000000000003</v>
      </c>
      <c r="AH62" s="1">
        <v>0.67600000000000005</v>
      </c>
      <c r="AI62" s="1">
        <v>0.68600000000000005</v>
      </c>
      <c r="AJ62" s="1">
        <v>0.69499999999999995</v>
      </c>
      <c r="AK62" s="1">
        <v>0.70299999999999996</v>
      </c>
      <c r="AL62" s="1">
        <v>0.71099999999999997</v>
      </c>
      <c r="AM62" s="1">
        <v>0.71899999999999997</v>
      </c>
      <c r="AN62" s="1">
        <v>0.72499999999999998</v>
      </c>
    </row>
    <row r="63" spans="10:40" x14ac:dyDescent="0.3">
      <c r="K63" s="12">
        <f>IF($D$8=$P$3,V63,IF($D$8=$O$3,AF63,0))</f>
        <v>0.3</v>
      </c>
      <c r="L63" s="7">
        <f>IF($D$8=$P$3,W63,IF($D$8=$O$3,AG63,0))</f>
        <v>0.68799999999999994</v>
      </c>
      <c r="M63" s="1">
        <f>IF($D$8=$P$3,X63,IF($D$8=$O$3,AH63,0))</f>
        <v>0.69699999999999995</v>
      </c>
      <c r="N63" s="1">
        <f>IF($D$8=$P$3,Y63,IF($D$8=$O$3,AI63,0))</f>
        <v>0.70599999999999996</v>
      </c>
      <c r="O63" s="1">
        <f>IF($D$8=$P$3,Z63,IF($D$8=$O$3,AJ63,0))</f>
        <v>0.71499999999999997</v>
      </c>
      <c r="P63" s="1">
        <f>IF($D$8=$P$3,AA63,IF($D$8=$O$3,AK63,0))</f>
        <v>0.72299999999999998</v>
      </c>
      <c r="Q63" s="1">
        <f>IF($D$8=$P$3,AB63,IF($D$8=$O$3,AL63,0))</f>
        <v>0.73</v>
      </c>
      <c r="R63" s="1">
        <f>IF($D$8=$P$3,AC63,IF($D$8=$O$3,AM63,0))</f>
        <v>0.73699999999999999</v>
      </c>
      <c r="S63" s="8">
        <f>IF($D$8=$P$3,AD63,IF($D$8=$O$3,AN63,0))</f>
        <v>0.74299999999999999</v>
      </c>
      <c r="V63" s="1">
        <v>0.3</v>
      </c>
      <c r="W63" s="1">
        <v>0.71399999999999997</v>
      </c>
      <c r="X63" s="1">
        <v>0.72899999999999998</v>
      </c>
      <c r="Y63" s="1">
        <v>0.74299999999999999</v>
      </c>
      <c r="Z63" s="1">
        <v>0.754</v>
      </c>
      <c r="AA63" s="1">
        <v>0.76300000000000001</v>
      </c>
      <c r="AB63" s="1">
        <v>0.76900000000000002</v>
      </c>
      <c r="AC63" s="1">
        <v>0.77500000000000002</v>
      </c>
      <c r="AD63" s="1">
        <v>0.77900000000000003</v>
      </c>
      <c r="AF63" s="1">
        <v>0.3</v>
      </c>
      <c r="AG63" s="1">
        <v>0.68799999999999994</v>
      </c>
      <c r="AH63" s="1">
        <v>0.69699999999999995</v>
      </c>
      <c r="AI63" s="1">
        <v>0.70599999999999996</v>
      </c>
      <c r="AJ63" s="1">
        <v>0.71499999999999997</v>
      </c>
      <c r="AK63" s="1">
        <v>0.72299999999999998</v>
      </c>
      <c r="AL63" s="1">
        <v>0.73</v>
      </c>
      <c r="AM63" s="1">
        <v>0.73699999999999999</v>
      </c>
      <c r="AN63" s="1">
        <v>0.74299999999999999</v>
      </c>
    </row>
    <row r="64" spans="10:40" x14ac:dyDescent="0.3">
      <c r="K64" s="12">
        <f>IF($D$8=$P$3,V64,IF($D$8=$O$3,AF64,0))</f>
        <v>0.33</v>
      </c>
      <c r="L64" s="7">
        <f>IF($D$8=$P$3,W64,IF($D$8=$O$3,AG64,0))</f>
        <v>0.70799999999999996</v>
      </c>
      <c r="M64" s="1">
        <f>IF($D$8=$P$3,X64,IF($D$8=$O$3,AH64,0))</f>
        <v>0.71699999999999997</v>
      </c>
      <c r="N64" s="1">
        <f>IF($D$8=$P$3,Y64,IF($D$8=$O$3,AI64,0))</f>
        <v>0.72499999999999998</v>
      </c>
      <c r="O64" s="1">
        <f>IF($D$8=$P$3,Z64,IF($D$8=$O$3,AJ64,0))</f>
        <v>0.73299999999999998</v>
      </c>
      <c r="P64" s="1">
        <f>IF($D$8=$P$3,AA64,IF($D$8=$O$3,AK64,0))</f>
        <v>0.74099999999999999</v>
      </c>
      <c r="Q64" s="1">
        <f>IF($D$8=$P$3,AB64,IF($D$8=$O$3,AL64,0))</f>
        <v>0.748</v>
      </c>
      <c r="R64" s="1">
        <f>IF($D$8=$P$3,AC64,IF($D$8=$O$3,AM64,0))</f>
        <v>0.754</v>
      </c>
      <c r="S64" s="8">
        <f>IF($D$8=$P$3,AD64,IF($D$8=$O$3,AN64,0))</f>
        <v>0.76</v>
      </c>
      <c r="V64" s="1">
        <v>0.33</v>
      </c>
      <c r="W64" s="1">
        <v>0.73199999999999998</v>
      </c>
      <c r="X64" s="1">
        <v>0.747</v>
      </c>
      <c r="Y64" s="1">
        <v>0.76</v>
      </c>
      <c r="Z64" s="1">
        <v>0.77</v>
      </c>
      <c r="AA64" s="1">
        <v>0.77900000000000003</v>
      </c>
      <c r="AB64" s="1">
        <v>0.78500000000000003</v>
      </c>
      <c r="AC64" s="1">
        <v>0.79</v>
      </c>
      <c r="AD64" s="1">
        <v>0.79400000000000004</v>
      </c>
      <c r="AF64" s="1">
        <v>0.33</v>
      </c>
      <c r="AG64" s="1">
        <v>0.70799999999999996</v>
      </c>
      <c r="AH64" s="1">
        <v>0.71699999999999997</v>
      </c>
      <c r="AI64" s="1">
        <v>0.72499999999999998</v>
      </c>
      <c r="AJ64" s="1">
        <v>0.73299999999999998</v>
      </c>
      <c r="AK64" s="1">
        <v>0.74099999999999999</v>
      </c>
      <c r="AL64" s="1">
        <v>0.748</v>
      </c>
      <c r="AM64" s="1">
        <v>0.754</v>
      </c>
      <c r="AN64" s="1">
        <v>0.76</v>
      </c>
    </row>
    <row r="65" spans="10:40" x14ac:dyDescent="0.3">
      <c r="K65" s="12">
        <f>IF($D$8=$P$3,V65,IF($D$8=$O$3,AF65,0))</f>
        <v>0.4</v>
      </c>
      <c r="L65" s="7">
        <f>IF($D$8=$P$3,W65,IF($D$8=$O$3,AG65,0))</f>
        <v>0.751</v>
      </c>
      <c r="M65" s="1">
        <f>IF($D$8=$P$3,X65,IF($D$8=$O$3,AH65,0))</f>
        <v>0.75800000000000001</v>
      </c>
      <c r="N65" s="1">
        <f>IF($D$8=$P$3,Y65,IF($D$8=$O$3,AI65,0))</f>
        <v>0.76500000000000001</v>
      </c>
      <c r="O65" s="1">
        <f>IF($D$8=$P$3,Z65,IF($D$8=$O$3,AJ65,0))</f>
        <v>0.77200000000000002</v>
      </c>
      <c r="P65" s="1">
        <f>IF($D$8=$P$3,AA65,IF($D$8=$O$3,AK65,0))</f>
        <v>0.77900000000000003</v>
      </c>
      <c r="Q65" s="1">
        <f>IF($D$8=$P$3,AB65,IF($D$8=$O$3,AL65,0))</f>
        <v>0.78500000000000003</v>
      </c>
      <c r="R65" s="1">
        <f>IF($D$8=$P$3,AC65,IF($D$8=$O$3,AM65,0))</f>
        <v>0.79</v>
      </c>
      <c r="S65" s="8">
        <f>IF($D$8=$P$3,AD65,IF($D$8=$O$3,AN65,0))</f>
        <v>0.79500000000000004</v>
      </c>
      <c r="V65" s="1">
        <v>0.4</v>
      </c>
      <c r="W65" s="1">
        <v>0.77200000000000002</v>
      </c>
      <c r="X65" s="1">
        <v>0.78500000000000003</v>
      </c>
      <c r="Y65" s="1">
        <v>0.79600000000000004</v>
      </c>
      <c r="Z65" s="1">
        <v>0.80500000000000005</v>
      </c>
      <c r="AA65" s="1">
        <v>0.81200000000000006</v>
      </c>
      <c r="AB65" s="1">
        <v>0.81799999999999995</v>
      </c>
      <c r="AC65" s="1">
        <v>0.82199999999999995</v>
      </c>
      <c r="AD65" s="1">
        <v>0.82499999999999996</v>
      </c>
      <c r="AF65" s="1">
        <v>0.4</v>
      </c>
      <c r="AG65" s="1">
        <v>0.751</v>
      </c>
      <c r="AH65" s="1">
        <v>0.75800000000000001</v>
      </c>
      <c r="AI65" s="1">
        <v>0.76500000000000001</v>
      </c>
      <c r="AJ65" s="1">
        <v>0.77200000000000002</v>
      </c>
      <c r="AK65" s="1">
        <v>0.77900000000000003</v>
      </c>
      <c r="AL65" s="1">
        <v>0.78500000000000003</v>
      </c>
      <c r="AM65" s="1">
        <v>0.79</v>
      </c>
      <c r="AN65" s="1">
        <v>0.79500000000000004</v>
      </c>
    </row>
    <row r="66" spans="10:40" x14ac:dyDescent="0.3">
      <c r="K66" s="12">
        <f>IF($D$8=$P$3,V66,IF($D$8=$O$3,AF66,0))</f>
        <v>0.5</v>
      </c>
      <c r="L66" s="7">
        <f>IF($D$8=$P$3,W66,IF($D$8=$O$3,AG66,0))</f>
        <v>0.80500000000000005</v>
      </c>
      <c r="M66" s="1">
        <f>IF($D$8=$P$3,X66,IF($D$8=$O$3,AH66,0))</f>
        <v>0.81</v>
      </c>
      <c r="N66" s="1">
        <f>IF($D$8=$P$3,Y66,IF($D$8=$O$3,AI66,0))</f>
        <v>0.81599999999999995</v>
      </c>
      <c r="O66" s="1">
        <f>IF($D$8=$P$3,Z66,IF($D$8=$O$3,AJ66,0))</f>
        <v>0.82099999999999995</v>
      </c>
      <c r="P66" s="1">
        <f>IF($D$8=$P$3,AA66,IF($D$8=$O$3,AK66,0))</f>
        <v>0.82599999999999996</v>
      </c>
      <c r="Q66" s="1">
        <f>IF($D$8=$P$3,AB66,IF($D$8=$O$3,AL66,0))</f>
        <v>0.83099999999999996</v>
      </c>
      <c r="R66" s="1">
        <f>IF($D$8=$P$3,AC66,IF($D$8=$O$3,AM66,0))</f>
        <v>0.83499999999999996</v>
      </c>
      <c r="S66" s="8">
        <f>IF($D$8=$P$3,AD66,IF($D$8=$O$3,AN66,0))</f>
        <v>0.83899999999999997</v>
      </c>
      <c r="V66" s="1">
        <v>0.5</v>
      </c>
      <c r="W66" s="1">
        <v>0.82099999999999995</v>
      </c>
      <c r="X66" s="1">
        <v>0.83099999999999996</v>
      </c>
      <c r="Y66" s="1">
        <v>0.84</v>
      </c>
      <c r="Z66" s="1">
        <v>0.84699999999999998</v>
      </c>
      <c r="AA66" s="1">
        <v>0.85299999999999998</v>
      </c>
      <c r="AB66" s="1">
        <v>0.85799999999999998</v>
      </c>
      <c r="AC66" s="1">
        <v>0.86199999999999999</v>
      </c>
      <c r="AD66" s="1">
        <v>0.86399999999999999</v>
      </c>
      <c r="AF66" s="1">
        <v>0.5</v>
      </c>
      <c r="AG66" s="1">
        <v>0.80500000000000005</v>
      </c>
      <c r="AH66" s="1">
        <v>0.81</v>
      </c>
      <c r="AI66" s="1">
        <v>0.81599999999999995</v>
      </c>
      <c r="AJ66" s="1">
        <v>0.82099999999999995</v>
      </c>
      <c r="AK66" s="1">
        <v>0.82599999999999996</v>
      </c>
      <c r="AL66" s="1">
        <v>0.83099999999999996</v>
      </c>
      <c r="AM66" s="1">
        <v>0.83499999999999996</v>
      </c>
      <c r="AN66" s="1">
        <v>0.83899999999999997</v>
      </c>
    </row>
    <row r="67" spans="10:40" x14ac:dyDescent="0.3">
      <c r="K67" s="12">
        <f>IF($D$8=$P$3,V67,IF($D$8=$O$3,AF67,0))</f>
        <v>0.6</v>
      </c>
      <c r="L67" s="7">
        <f>IF($D$8=$P$3,W67,IF($D$8=$O$3,AG67,0))</f>
        <v>0.85199999999999998</v>
      </c>
      <c r="M67" s="1">
        <f>IF($D$8=$P$3,X67,IF($D$8=$O$3,AH67,0))</f>
        <v>0.85599999999999998</v>
      </c>
      <c r="N67" s="1">
        <f>IF($D$8=$P$3,Y67,IF($D$8=$O$3,AI67,0))</f>
        <v>0.86</v>
      </c>
      <c r="O67" s="1">
        <f>IF($D$8=$P$3,Z67,IF($D$8=$O$3,AJ67,0))</f>
        <v>0.86399999999999999</v>
      </c>
      <c r="P67" s="1">
        <f>IF($D$8=$P$3,AA67,IF($D$8=$O$3,AK67,0))</f>
        <v>0.86799999999999999</v>
      </c>
      <c r="Q67" s="1">
        <f>IF($D$8=$P$3,AB67,IF($D$8=$O$3,AL67,0))</f>
        <v>0.871</v>
      </c>
      <c r="R67" s="1">
        <f>IF($D$8=$P$3,AC67,IF($D$8=$O$3,AM67,0))</f>
        <v>0.875</v>
      </c>
      <c r="S67" s="8">
        <f>IF($D$8=$P$3,AD67,IF($D$8=$O$3,AN67,0))</f>
        <v>0.878</v>
      </c>
      <c r="V67" s="1">
        <v>0.6</v>
      </c>
      <c r="W67" s="1">
        <v>0.86399999999999999</v>
      </c>
      <c r="X67" s="1">
        <v>0.872</v>
      </c>
      <c r="Y67" s="1">
        <v>0.879</v>
      </c>
      <c r="Z67" s="1">
        <v>0.88500000000000001</v>
      </c>
      <c r="AA67" s="1">
        <v>0.88900000000000001</v>
      </c>
      <c r="AB67" s="1">
        <v>0.89300000000000002</v>
      </c>
      <c r="AC67" s="1">
        <v>0.89600000000000002</v>
      </c>
      <c r="AD67" s="1">
        <v>0.89800000000000002</v>
      </c>
      <c r="AF67" s="1">
        <v>0.6</v>
      </c>
      <c r="AG67" s="1">
        <v>0.85199999999999998</v>
      </c>
      <c r="AH67" s="1">
        <v>0.85599999999999998</v>
      </c>
      <c r="AI67" s="1">
        <v>0.86</v>
      </c>
      <c r="AJ67" s="1">
        <v>0.86399999999999999</v>
      </c>
      <c r="AK67" s="1">
        <v>0.86799999999999999</v>
      </c>
      <c r="AL67" s="1">
        <v>0.871</v>
      </c>
      <c r="AM67" s="1">
        <v>0.875</v>
      </c>
      <c r="AN67" s="1">
        <v>0.878</v>
      </c>
    </row>
    <row r="68" spans="10:40" x14ac:dyDescent="0.3">
      <c r="K68" s="12">
        <f>IF($D$8=$P$3,V68,IF($D$8=$O$3,AF68,0))</f>
        <v>0.67</v>
      </c>
      <c r="L68" s="7">
        <f>IF($D$8=$P$3,W68,IF($D$8=$O$3,AG68,0))</f>
        <v>0.88200000000000001</v>
      </c>
      <c r="M68" s="1">
        <f>IF($D$8=$P$3,X68,IF($D$8=$O$3,AH68,0))</f>
        <v>0.88500000000000001</v>
      </c>
      <c r="N68" s="1">
        <f>IF($D$8=$P$3,Y68,IF($D$8=$O$3,AI68,0))</f>
        <v>0.88800000000000001</v>
      </c>
      <c r="O68" s="1">
        <f>IF($D$8=$P$3,Z68,IF($D$8=$O$3,AJ68,0))</f>
        <v>0.89100000000000001</v>
      </c>
      <c r="P68" s="1">
        <f>IF($D$8=$P$3,AA68,IF($D$8=$O$3,AK68,0))</f>
        <v>0.89400000000000002</v>
      </c>
      <c r="Q68" s="1">
        <f>IF($D$8=$P$3,AB68,IF($D$8=$O$3,AL68,0))</f>
        <v>0.89700000000000002</v>
      </c>
      <c r="R68" s="1">
        <f>IF($D$8=$P$3,AC68,IF($D$8=$O$3,AM68,0))</f>
        <v>0.9</v>
      </c>
      <c r="S68" s="8">
        <f>IF($D$8=$P$3,AD68,IF($D$8=$O$3,AN68,0))</f>
        <v>0.90200000000000002</v>
      </c>
      <c r="V68" s="1">
        <v>0.67</v>
      </c>
      <c r="W68" s="1">
        <v>0.89200000000000002</v>
      </c>
      <c r="X68" s="1">
        <v>0.89800000000000002</v>
      </c>
      <c r="Y68" s="1">
        <v>0.90300000000000002</v>
      </c>
      <c r="Z68" s="1">
        <v>0.90800000000000003</v>
      </c>
      <c r="AA68" s="1">
        <v>0.91200000000000003</v>
      </c>
      <c r="AB68" s="1">
        <v>0.91500000000000004</v>
      </c>
      <c r="AC68" s="1">
        <v>0.91700000000000004</v>
      </c>
      <c r="AD68" s="1">
        <v>0.91900000000000004</v>
      </c>
      <c r="AF68" s="1">
        <v>0.67</v>
      </c>
      <c r="AG68" s="1">
        <v>0.88200000000000001</v>
      </c>
      <c r="AH68" s="1">
        <v>0.88500000000000001</v>
      </c>
      <c r="AI68" s="1">
        <v>0.88800000000000001</v>
      </c>
      <c r="AJ68" s="1">
        <v>0.89100000000000001</v>
      </c>
      <c r="AK68" s="1">
        <v>0.89400000000000002</v>
      </c>
      <c r="AL68" s="1">
        <v>0.89700000000000002</v>
      </c>
      <c r="AM68" s="1">
        <v>0.9</v>
      </c>
      <c r="AN68" s="1">
        <v>0.90200000000000002</v>
      </c>
    </row>
    <row r="69" spans="10:40" x14ac:dyDescent="0.3">
      <c r="K69" s="12">
        <f>IF($D$8=$P$3,V69,IF($D$8=$O$3,AF69,0))</f>
        <v>0.7</v>
      </c>
      <c r="L69" s="7">
        <f>IF($D$8=$P$3,W69,IF($D$8=$O$3,AG69,0))</f>
        <v>0.89400000000000002</v>
      </c>
      <c r="M69" s="1">
        <f>IF($D$8=$P$3,X69,IF($D$8=$O$3,AH69,0))</f>
        <v>0.89700000000000002</v>
      </c>
      <c r="N69" s="1">
        <f>IF($D$8=$P$3,Y69,IF($D$8=$O$3,AI69,0))</f>
        <v>0.9</v>
      </c>
      <c r="O69" s="1">
        <f>IF($D$8=$P$3,Z69,IF($D$8=$O$3,AJ69,0))</f>
        <v>0.90200000000000002</v>
      </c>
      <c r="P69" s="1">
        <f>IF($D$8=$P$3,AA69,IF($D$8=$O$3,AK69,0))</f>
        <v>0.90500000000000003</v>
      </c>
      <c r="Q69" s="1">
        <f>IF($D$8=$P$3,AB69,IF($D$8=$O$3,AL69,0))</f>
        <v>0.90800000000000003</v>
      </c>
      <c r="R69" s="1">
        <f>IF($D$8=$P$3,AC69,IF($D$8=$O$3,AM69,0))</f>
        <v>0.91</v>
      </c>
      <c r="S69" s="8">
        <f>IF($D$8=$P$3,AD69,IF($D$8=$O$3,AN69,0))</f>
        <v>0.91200000000000003</v>
      </c>
      <c r="V69" s="1">
        <v>0.7</v>
      </c>
      <c r="W69" s="1">
        <v>0.90300000000000002</v>
      </c>
      <c r="X69" s="1">
        <v>0.90800000000000003</v>
      </c>
      <c r="Y69" s="1">
        <v>0.91300000000000003</v>
      </c>
      <c r="Z69" s="1">
        <v>0.91700000000000004</v>
      </c>
      <c r="AA69" s="1">
        <v>0.92100000000000004</v>
      </c>
      <c r="AB69" s="1">
        <v>0.92400000000000004</v>
      </c>
      <c r="AC69" s="1">
        <v>0.92600000000000005</v>
      </c>
      <c r="AD69" s="1">
        <v>0.92700000000000005</v>
      </c>
      <c r="AF69" s="1">
        <v>0.7</v>
      </c>
      <c r="AG69" s="1">
        <v>0.89400000000000002</v>
      </c>
      <c r="AH69" s="1">
        <v>0.89700000000000002</v>
      </c>
      <c r="AI69" s="1">
        <v>0.9</v>
      </c>
      <c r="AJ69" s="1">
        <v>0.90200000000000002</v>
      </c>
      <c r="AK69" s="1">
        <v>0.90500000000000003</v>
      </c>
      <c r="AL69" s="1">
        <v>0.90800000000000003</v>
      </c>
      <c r="AM69" s="1">
        <v>0.91</v>
      </c>
      <c r="AN69" s="1">
        <v>0.91200000000000003</v>
      </c>
    </row>
    <row r="70" spans="10:40" x14ac:dyDescent="0.3">
      <c r="K70" s="12">
        <f>IF($D$8=$P$3,V70,IF($D$8=$O$3,AF70,0))</f>
        <v>0.8</v>
      </c>
      <c r="L70" s="7">
        <f>IF($D$8=$P$3,W70,IF($D$8=$O$3,AG70,0))</f>
        <v>0.93200000000000005</v>
      </c>
      <c r="M70" s="1">
        <f>IF($D$8=$P$3,X70,IF($D$8=$O$3,AH70,0))</f>
        <v>0.93400000000000005</v>
      </c>
      <c r="N70" s="1">
        <f>IF($D$8=$P$3,Y70,IF($D$8=$O$3,AI70,0))</f>
        <v>0.93600000000000005</v>
      </c>
      <c r="O70" s="1">
        <f>IF($D$8=$P$3,Z70,IF($D$8=$O$3,AJ70,0))</f>
        <v>0.93799999999999994</v>
      </c>
      <c r="P70" s="1">
        <f>IF($D$8=$P$3,AA70,IF($D$8=$O$3,AK70,0))</f>
        <v>0.93899999999999995</v>
      </c>
      <c r="Q70" s="1">
        <f>IF($D$8=$P$3,AB70,IF($D$8=$O$3,AL70,0))</f>
        <v>0.94099999999999995</v>
      </c>
      <c r="R70" s="1">
        <f>IF($D$8=$P$3,AC70,IF($D$8=$O$3,AM70,0))</f>
        <v>0.94199999999999995</v>
      </c>
      <c r="S70" s="8">
        <f>IF($D$8=$P$3,AD70,IF($D$8=$O$3,AN70,0))</f>
        <v>0.94399999999999995</v>
      </c>
      <c r="V70" s="1">
        <v>0.8</v>
      </c>
      <c r="W70" s="1">
        <v>0.93799999999999994</v>
      </c>
      <c r="X70" s="1">
        <v>0.94099999999999995</v>
      </c>
      <c r="Y70" s="1">
        <v>0.94499999999999995</v>
      </c>
      <c r="Z70" s="1">
        <v>0.94699999999999995</v>
      </c>
      <c r="AA70" s="1">
        <v>0.94899999999999995</v>
      </c>
      <c r="AB70" s="1">
        <v>0.95099999999999996</v>
      </c>
      <c r="AC70" s="1">
        <v>0.95299999999999996</v>
      </c>
      <c r="AD70" s="1">
        <v>0.95399999999999996</v>
      </c>
      <c r="AF70" s="1">
        <v>0.8</v>
      </c>
      <c r="AG70" s="1">
        <v>0.93200000000000005</v>
      </c>
      <c r="AH70" s="1">
        <v>0.93400000000000005</v>
      </c>
      <c r="AI70" s="1">
        <v>0.93600000000000005</v>
      </c>
      <c r="AJ70" s="1">
        <v>0.93799999999999994</v>
      </c>
      <c r="AK70" s="1">
        <v>0.93899999999999995</v>
      </c>
      <c r="AL70" s="1">
        <v>0.94099999999999995</v>
      </c>
      <c r="AM70" s="1">
        <v>0.94199999999999995</v>
      </c>
      <c r="AN70" s="1">
        <v>0.94399999999999995</v>
      </c>
    </row>
    <row r="71" spans="10:40" ht="15" thickBot="1" x14ac:dyDescent="0.35">
      <c r="K71" s="13">
        <f>IF($D$8=$P$3,V71,IF($D$8=$O$3,AF71,0))</f>
        <v>1</v>
      </c>
      <c r="L71" s="9">
        <f>IF($D$8=$P$3,W71,IF($D$8=$O$3,AG71,0))</f>
        <v>1</v>
      </c>
      <c r="M71" s="10">
        <f>IF($D$8=$P$3,X71,IF($D$8=$O$3,AH71,0))</f>
        <v>1</v>
      </c>
      <c r="N71" s="10">
        <f>IF($D$8=$P$3,Y71,IF($D$8=$O$3,AI71,0))</f>
        <v>1</v>
      </c>
      <c r="O71" s="10">
        <f>IF($D$8=$P$3,Z71,IF($D$8=$O$3,AJ71,0))</f>
        <v>1</v>
      </c>
      <c r="P71" s="10">
        <f>IF($D$8=$P$3,AA71,IF($D$8=$O$3,AK71,0))</f>
        <v>1</v>
      </c>
      <c r="Q71" s="10">
        <f>IF($D$8=$P$3,AB71,IF($D$8=$O$3,AL71,0))</f>
        <v>1</v>
      </c>
      <c r="R71" s="10">
        <f>IF($D$8=$P$3,AC71,IF($D$8=$O$3,AM71,0))</f>
        <v>1</v>
      </c>
      <c r="S71" s="11">
        <f>IF($D$8=$P$3,AD71,IF($D$8=$O$3,AN71,0))</f>
        <v>1</v>
      </c>
      <c r="V71" s="1">
        <v>1</v>
      </c>
      <c r="W71" s="1">
        <v>1</v>
      </c>
      <c r="X71" s="1">
        <v>1</v>
      </c>
      <c r="Y71" s="1">
        <v>1</v>
      </c>
      <c r="Z71" s="1">
        <v>1</v>
      </c>
      <c r="AA71" s="1">
        <v>1</v>
      </c>
      <c r="AB71" s="1">
        <v>1</v>
      </c>
      <c r="AC71" s="1">
        <v>1</v>
      </c>
      <c r="AD71" s="1">
        <v>1</v>
      </c>
      <c r="AF71" s="1">
        <v>1</v>
      </c>
      <c r="AG71" s="1">
        <v>1</v>
      </c>
      <c r="AH71" s="1">
        <v>1</v>
      </c>
      <c r="AI71" s="1">
        <v>1</v>
      </c>
      <c r="AJ71" s="1">
        <v>1</v>
      </c>
      <c r="AK71" s="1">
        <v>1</v>
      </c>
      <c r="AL71" s="1">
        <v>1</v>
      </c>
      <c r="AM71" s="1">
        <v>1</v>
      </c>
      <c r="AN71" s="1">
        <v>1</v>
      </c>
    </row>
    <row r="72" spans="10:40" ht="15" thickBot="1" x14ac:dyDescent="0.35">
      <c r="J72" s="22" t="s">
        <v>43</v>
      </c>
      <c r="K72" s="24">
        <f>D15</f>
        <v>0.4</v>
      </c>
      <c r="L72" s="26">
        <f>lininterpolate($K$72,$K$59:$K$71,L$59:L$71)</f>
        <v>0.751</v>
      </c>
      <c r="M72" s="26">
        <f t="shared" ref="M72:S72" si="2">lininterpolate($K$72,$K$59:$K$71,M$59:M$71)</f>
        <v>0.75800000000000001</v>
      </c>
      <c r="N72" s="26">
        <f t="shared" si="2"/>
        <v>0.76500000000000001</v>
      </c>
      <c r="O72" s="26">
        <f t="shared" si="2"/>
        <v>0.77200000000000002</v>
      </c>
      <c r="P72" s="26">
        <f t="shared" si="2"/>
        <v>0.77900000000000003</v>
      </c>
      <c r="Q72" s="26">
        <f t="shared" si="2"/>
        <v>0.78500000000000003</v>
      </c>
      <c r="R72" s="26">
        <f t="shared" si="2"/>
        <v>0.79</v>
      </c>
      <c r="S72" s="26">
        <f t="shared" si="2"/>
        <v>0.79500000000000004</v>
      </c>
    </row>
    <row r="73" spans="10:40" ht="15" thickBot="1" x14ac:dyDescent="0.35"/>
    <row r="74" spans="10:40" x14ac:dyDescent="0.3">
      <c r="K74" s="50" t="s">
        <v>44</v>
      </c>
      <c r="L74" s="52" t="s">
        <v>45</v>
      </c>
      <c r="M74" s="53"/>
      <c r="N74" s="53"/>
      <c r="O74" s="53"/>
      <c r="P74" s="53"/>
      <c r="Q74" s="53"/>
      <c r="R74" s="54"/>
    </row>
    <row r="75" spans="10:40" ht="15" thickBot="1" x14ac:dyDescent="0.35">
      <c r="K75" s="51"/>
      <c r="L75" s="15">
        <v>5</v>
      </c>
      <c r="M75" s="2">
        <v>10</v>
      </c>
      <c r="N75" s="2">
        <v>15</v>
      </c>
      <c r="O75" s="2">
        <v>20</v>
      </c>
      <c r="P75" s="2">
        <v>25</v>
      </c>
      <c r="Q75" s="2">
        <v>30</v>
      </c>
      <c r="R75" s="14">
        <v>50</v>
      </c>
    </row>
    <row r="76" spans="10:40" x14ac:dyDescent="0.3">
      <c r="K76" s="16">
        <v>1</v>
      </c>
      <c r="L76" s="4">
        <v>4</v>
      </c>
      <c r="M76" s="5">
        <v>2</v>
      </c>
      <c r="N76" s="5">
        <v>1.33</v>
      </c>
      <c r="O76" s="5">
        <v>1</v>
      </c>
      <c r="P76" s="5">
        <v>0.8</v>
      </c>
      <c r="Q76" s="5">
        <v>0.67</v>
      </c>
      <c r="R76" s="6">
        <v>0.4</v>
      </c>
    </row>
    <row r="77" spans="10:40" x14ac:dyDescent="0.3">
      <c r="K77" s="12">
        <v>2</v>
      </c>
      <c r="L77" s="7">
        <v>2</v>
      </c>
      <c r="M77" s="1">
        <v>1</v>
      </c>
      <c r="N77" s="1">
        <v>0.67</v>
      </c>
      <c r="O77" s="1">
        <v>0.5</v>
      </c>
      <c r="P77" s="1">
        <v>0.4</v>
      </c>
      <c r="Q77" s="1">
        <v>0.33</v>
      </c>
      <c r="R77" s="8">
        <v>0.2</v>
      </c>
    </row>
    <row r="78" spans="10:40" x14ac:dyDescent="0.3">
      <c r="K78" s="12">
        <v>3</v>
      </c>
      <c r="L78" s="7">
        <v>1.33</v>
      </c>
      <c r="M78" s="1">
        <v>0.67</v>
      </c>
      <c r="N78" s="1">
        <v>0.44</v>
      </c>
      <c r="O78" s="1">
        <v>0.33</v>
      </c>
      <c r="P78" s="1">
        <v>0.27</v>
      </c>
      <c r="Q78" s="1">
        <v>0.22</v>
      </c>
      <c r="R78" s="8">
        <v>0.13</v>
      </c>
    </row>
    <row r="79" spans="10:40" x14ac:dyDescent="0.3">
      <c r="K79" s="12">
        <v>5</v>
      </c>
      <c r="L79" s="7">
        <v>0.8</v>
      </c>
      <c r="M79" s="1">
        <v>0.4</v>
      </c>
      <c r="N79" s="1">
        <v>0.27</v>
      </c>
      <c r="O79" s="1">
        <v>0.2</v>
      </c>
      <c r="P79" s="1">
        <v>0.16</v>
      </c>
      <c r="Q79" s="1">
        <v>0.13</v>
      </c>
      <c r="R79" s="8">
        <v>0.08</v>
      </c>
    </row>
    <row r="80" spans="10:40" ht="15" thickBot="1" x14ac:dyDescent="0.35">
      <c r="K80" s="13">
        <v>10</v>
      </c>
      <c r="L80" s="9">
        <v>0.4</v>
      </c>
      <c r="M80" s="10">
        <v>0.2</v>
      </c>
      <c r="N80" s="10">
        <v>0.13</v>
      </c>
      <c r="O80" s="10">
        <v>0.1</v>
      </c>
      <c r="P80" s="10">
        <v>0.08</v>
      </c>
      <c r="Q80" s="10">
        <v>7.0000000000000007E-2</v>
      </c>
      <c r="R80" s="11">
        <v>0.04</v>
      </c>
    </row>
    <row r="81" spans="10:19" ht="15" thickBot="1" x14ac:dyDescent="0.35">
      <c r="J81" s="22" t="s">
        <v>43</v>
      </c>
      <c r="K81" s="24">
        <f>D2</f>
        <v>2</v>
      </c>
      <c r="L81" s="25">
        <f>lininterpolate($K$81,$K$76:$K$80,L$76:L$80)</f>
        <v>2</v>
      </c>
      <c r="M81" s="19">
        <f t="shared" ref="M81:R81" si="3">lininterpolate($K$81,$K$76:$K$80,M$76:M$80)</f>
        <v>1</v>
      </c>
      <c r="N81" s="19">
        <f t="shared" si="3"/>
        <v>0.67</v>
      </c>
      <c r="O81" s="19">
        <f t="shared" si="3"/>
        <v>0.5</v>
      </c>
      <c r="P81" s="19">
        <f t="shared" si="3"/>
        <v>0.4</v>
      </c>
      <c r="Q81" s="19">
        <f t="shared" si="3"/>
        <v>0.33</v>
      </c>
      <c r="R81" s="20">
        <f t="shared" si="3"/>
        <v>0.2</v>
      </c>
      <c r="S81" s="23"/>
    </row>
  </sheetData>
  <mergeCells count="26">
    <mergeCell ref="A2:A12"/>
    <mergeCell ref="A13:A17"/>
    <mergeCell ref="B2:B4"/>
    <mergeCell ref="B13:B17"/>
    <mergeCell ref="AF16:AF17"/>
    <mergeCell ref="AG16:AN16"/>
    <mergeCell ref="B5:B8"/>
    <mergeCell ref="B9:B12"/>
    <mergeCell ref="AG37:AN37"/>
    <mergeCell ref="AF57:AF58"/>
    <mergeCell ref="AG57:AN57"/>
    <mergeCell ref="K16:K17"/>
    <mergeCell ref="L16:S16"/>
    <mergeCell ref="K37:K38"/>
    <mergeCell ref="L37:S37"/>
    <mergeCell ref="K57:K58"/>
    <mergeCell ref="L57:S57"/>
    <mergeCell ref="V37:V38"/>
    <mergeCell ref="W37:AD37"/>
    <mergeCell ref="V16:V17"/>
    <mergeCell ref="W16:AD16"/>
    <mergeCell ref="K74:K75"/>
    <mergeCell ref="L74:R74"/>
    <mergeCell ref="V57:V58"/>
    <mergeCell ref="W57:AD57"/>
    <mergeCell ref="AF37:AF38"/>
  </mergeCells>
  <dataValidations count="3">
    <dataValidation type="list" allowBlank="1" showInputMessage="1" showErrorMessage="1" sqref="D5">
      <formula1>$O$2:$U$2</formula1>
    </dataValidation>
    <dataValidation type="list" allowBlank="1" showInputMessage="1" showErrorMessage="1" sqref="D8">
      <formula1>$O$3:$P$3</formula1>
    </dataValidation>
    <dataValidation type="list" allowBlank="1" showInputMessage="1" showErrorMessage="1" sqref="D4">
      <formula1>$O$4:$AB$4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SFA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2018-10-05T07:41:17Z</dcterms:created>
  <dcterms:modified xsi:type="dcterms:W3CDTF">2018-10-25T12:01:57Z</dcterms:modified>
</cp:coreProperties>
</file>